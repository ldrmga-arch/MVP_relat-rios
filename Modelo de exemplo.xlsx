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E7C23CD-E78B-4AD1-9D5D-52A7F522242F}" xr6:coauthVersionLast="47" xr6:coauthVersionMax="47" xr10:uidLastSave="{00000000-0000-0000-0000-000000000000}"/>
  <bookViews>
    <workbookView xWindow="-38520" yWindow="-120" windowWidth="38640" windowHeight="15720" firstSheet="1" activeTab="1" xr2:uid="{00000000-000D-0000-FFFF-FFFF00000000}"/>
  </bookViews>
  <sheets>
    <sheet name="PR RR QD02 LT14" sheetId="1" r:id="rId1"/>
    <sheet name="PR RR QD 23 LT 14" sheetId="18" r:id="rId2"/>
    <sheet name="Plano de conta" sheetId="19" r:id="rId3"/>
    <sheet name="TOTALIZADOR" sheetId="17" r:id="rId4"/>
  </sheets>
  <externalReferences>
    <externalReference r:id="rId5"/>
  </externalReferences>
  <calcPr calcId="191029"/>
</workbook>
</file>

<file path=xl/calcChain.xml><?xml version="1.0" encoding="utf-8"?>
<calcChain xmlns="http://schemas.openxmlformats.org/spreadsheetml/2006/main">
  <c r="I36" i="18" l="1"/>
  <c r="I35" i="18"/>
  <c r="I34" i="18"/>
  <c r="I33" i="18"/>
  <c r="I30" i="18"/>
  <c r="D22" i="18"/>
  <c r="D23" i="18"/>
  <c r="D24" i="18"/>
  <c r="D25" i="18"/>
  <c r="D26" i="18"/>
  <c r="D27" i="18"/>
  <c r="D18" i="18"/>
  <c r="D19" i="18"/>
  <c r="B12" i="17" s="1"/>
  <c r="D20" i="18"/>
  <c r="D21" i="18"/>
  <c r="D14" i="18"/>
  <c r="D15" i="18"/>
  <c r="D16" i="18"/>
  <c r="D17" i="18"/>
  <c r="D13" i="18"/>
  <c r="B13" i="17" l="1"/>
  <c r="D29" i="18"/>
  <c r="D28" i="18"/>
  <c r="B16" i="17"/>
  <c r="B15" i="17"/>
  <c r="B14" i="17"/>
  <c r="B11" i="17"/>
  <c r="B10" i="17"/>
  <c r="B9" i="17"/>
  <c r="B8" i="17"/>
  <c r="B7" i="17"/>
  <c r="D30" i="18" l="1"/>
  <c r="D32" i="18" l="1"/>
  <c r="D33" i="18" s="1"/>
  <c r="A7" i="17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28" i="1" l="1"/>
  <c r="B17" i="17" l="1"/>
  <c r="H30" i="1"/>
  <c r="H31" i="1" s="1"/>
</calcChain>
</file>

<file path=xl/sharedStrings.xml><?xml version="1.0" encoding="utf-8"?>
<sst xmlns="http://schemas.openxmlformats.org/spreadsheetml/2006/main" count="162" uniqueCount="96">
  <si>
    <t xml:space="preserve">MDN PORTO SOLUÇÕES CONDOMINIAIS </t>
  </si>
  <si>
    <t>FATURA</t>
  </si>
  <si>
    <t>RUA JOAQUIM LOPES, 117 - SALA 02</t>
  </si>
  <si>
    <t>Rodrigo Store</t>
  </si>
  <si>
    <t>PORTO RICO-PR</t>
  </si>
  <si>
    <t>Alberto K. Y. Kawata</t>
  </si>
  <si>
    <t>FATURA nº</t>
  </si>
  <si>
    <t>DATA DE EMISSÃO</t>
  </si>
  <si>
    <t>DADOS DO IMÓVEL</t>
  </si>
  <si>
    <t>QTDE COTAS</t>
  </si>
  <si>
    <t>VENCTO BOLETO</t>
  </si>
  <si>
    <t>MONDONEX - PR RR QD 02 LT 14</t>
  </si>
  <si>
    <t>CONDOMÍNIO PORTO RICO RESORT</t>
  </si>
  <si>
    <t>PORTO RICO - PR</t>
  </si>
  <si>
    <t>DESCRIÇÃO</t>
  </si>
  <si>
    <t>QTD</t>
  </si>
  <si>
    <t>PREÇO UNITÁRIO</t>
  </si>
  <si>
    <t>QUANTIDADE</t>
  </si>
  <si>
    <t>valores fixos</t>
  </si>
  <si>
    <t>TAXA DE ADMINISTRAÇÃO</t>
  </si>
  <si>
    <t>MANUTENÇÃO LIMPEZA</t>
  </si>
  <si>
    <t>MANUTENÇÃO PISCINA</t>
  </si>
  <si>
    <t>MANUTENÇÃO JARDIM</t>
  </si>
  <si>
    <t>GAS</t>
  </si>
  <si>
    <t>SERVIÇOS MDN</t>
  </si>
  <si>
    <t xml:space="preserve">REPOSIÇÃO DE ITEM </t>
  </si>
  <si>
    <t>PRODUTOS LIMPEZA</t>
  </si>
  <si>
    <t>Produtos de Limpeza</t>
  </si>
  <si>
    <t>TAXA ASSEMBLEIA</t>
  </si>
  <si>
    <t xml:space="preserve">OBS: Fatura referente N.F. n° </t>
  </si>
  <si>
    <t>SUBTOTAL</t>
  </si>
  <si>
    <t>TOTAL</t>
  </si>
  <si>
    <t>Caso tenha dúvidas em relação a esta fatura, entre em contato com</t>
  </si>
  <si>
    <t>MDN SERVIÇOS CONDOMINIAIS</t>
  </si>
  <si>
    <t xml:space="preserve">REPOSIÇÃO DE ITENS </t>
  </si>
  <si>
    <t>RESUMO DA COBRANÇA:</t>
  </si>
  <si>
    <t>data emissão</t>
  </si>
  <si>
    <t>data vencimento</t>
  </si>
  <si>
    <t>totalizador</t>
  </si>
  <si>
    <t>Reposição de itens</t>
  </si>
  <si>
    <t>Serviços MDN</t>
  </si>
  <si>
    <t>Paulo Sergio Smaniotto</t>
  </si>
  <si>
    <t>LIMPEZA EXPRESS</t>
  </si>
  <si>
    <t xml:space="preserve">COTA A:  R$ </t>
  </si>
  <si>
    <t xml:space="preserve">COTA B : R$ </t>
  </si>
  <si>
    <t xml:space="preserve">COTA C: R$ </t>
  </si>
  <si>
    <t>COTA A:  R$ 674,58</t>
  </si>
  <si>
    <t>COTA B : R$ 124,58</t>
  </si>
  <si>
    <t>COTA C: R$ 124,58</t>
  </si>
  <si>
    <t>COTA A:  R$ 368,14</t>
  </si>
  <si>
    <t>COTA B : R$ 6,73</t>
  </si>
  <si>
    <t>COTA C: R$ 6,73</t>
  </si>
  <si>
    <t>MONDONEX - PR RR QD 23 LT 14</t>
  </si>
  <si>
    <t>Unidade</t>
  </si>
  <si>
    <t>Bloco</t>
  </si>
  <si>
    <t>Data de Referência</t>
  </si>
  <si>
    <t>Valor</t>
  </si>
  <si>
    <t>Conta Categoria</t>
  </si>
  <si>
    <t>Complemento  da Conta</t>
  </si>
  <si>
    <t>Tipo da cobrança</t>
  </si>
  <si>
    <t>A</t>
  </si>
  <si>
    <t>B</t>
  </si>
  <si>
    <t>C</t>
  </si>
  <si>
    <t>1.4.12 - Energia - CI</t>
  </si>
  <si>
    <t>07/5/2026 a 14/06/2026</t>
  </si>
  <si>
    <t>01/5/2026 a 07/06/2026</t>
  </si>
  <si>
    <t>021/5/2026 a 28/06/2026</t>
  </si>
  <si>
    <t xml:space="preserve">                  2.4.1.3 - - Gás - CI   </t>
  </si>
  <si>
    <t xml:space="preserve">                  </t>
  </si>
  <si>
    <t xml:space="preserve">            2.4.2 - - Contas de Servicos Individuais   </t>
  </si>
  <si>
    <t xml:space="preserve">                  2.4.2.1 - - Consumo Resort - CI   </t>
  </si>
  <si>
    <t xml:space="preserve">                  2.4.2.15 - - Consumo Mondonex - CI   </t>
  </si>
  <si>
    <t xml:space="preserve">                  2.4.2.20 - - Serviços Prestados - CI   </t>
  </si>
  <si>
    <t xml:space="preserve">                  2.4.2.21 - - Festa Julina - CI   </t>
  </si>
  <si>
    <t xml:space="preserve">                  2.4.2.60 - Outros    </t>
  </si>
  <si>
    <t xml:space="preserve">            2.4.60 - Outros    </t>
  </si>
  <si>
    <t xml:space="preserve">            </t>
  </si>
  <si>
    <t xml:space="preserve">      2.6 - - Documentos Patrimoniais   </t>
  </si>
  <si>
    <t xml:space="preserve">            2.6.1 - - IPTU   </t>
  </si>
  <si>
    <t xml:space="preserve">            2.6.60 - Outros    </t>
  </si>
  <si>
    <t xml:space="preserve">      2.7 - - Segurança Patrimonial Terceirizada   </t>
  </si>
  <si>
    <t xml:space="preserve">            2.7.1 - - Segurança Terceirizada   </t>
  </si>
  <si>
    <t xml:space="preserve">            2.7.60 - Outros    </t>
  </si>
  <si>
    <t xml:space="preserve">      2.8 - Inconsistências   </t>
  </si>
  <si>
    <t xml:space="preserve">            2.8.1 - Pagamento indevido   </t>
  </si>
  <si>
    <t xml:space="preserve">            2.8.60 - Outros    </t>
  </si>
  <si>
    <t xml:space="preserve">      2.60 - Outros    </t>
  </si>
  <si>
    <t xml:space="preserve">      2.999999 - - Não categorizado   </t>
  </si>
  <si>
    <t xml:space="preserve">Rep. Pulseira </t>
  </si>
  <si>
    <t>Cota / Rateio</t>
  </si>
  <si>
    <t>Rateio</t>
  </si>
  <si>
    <t>Total C.I</t>
  </si>
  <si>
    <t>Total Cota A</t>
  </si>
  <si>
    <t>Total Cota B</t>
  </si>
  <si>
    <t>Total Cota 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</si>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</sst>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&quot;/&quot;mm&quot;/&quot;yyyy"/>
    <numFmt numFmtId="165" formatCode="_-* #,##0.00_-;\-* #,##0.00_-;_-* &quot;-&quot;??_-;_-@"/>
    <numFmt numFmtId="166" formatCode="0.000%"/>
    <numFmt numFmtId="167" formatCode="_-&quot;R$&quot;\ * #,##0.00_-;\-&quot;R$&quot;\ * #,##0.00_-;_-&quot;R$&quot;\ * &quot;-&quot;??_-;_-@"/>
    <numFmt numFmtId="168" formatCode="_-&quot;R$&quot;* #,##0.00_-;\-&quot;R$&quot;* #,##0.00_-;_-&quot;R$&quot;* &quot;-&quot;??_-;_-@"/>
  </numFmts>
  <fonts count="20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20"/>
      <color rgb="FF1E4E79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36"/>
      <color rgb="FF2E75B5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b/>
      <i/>
      <sz val="12"/>
      <color rgb="FF2E75B5"/>
      <name val="Calibri"/>
      <family val="2"/>
    </font>
    <font>
      <sz val="12"/>
      <color theme="1"/>
      <name val="Calibri"/>
      <family val="2"/>
    </font>
    <font>
      <b/>
      <sz val="14"/>
      <color rgb="FF1E4E79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E75B5"/>
        <bgColor rgb="FF2E75B5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2E75B5"/>
      </bottom>
      <diagonal/>
    </border>
    <border>
      <left/>
      <right style="hair">
        <color rgb="FF000000"/>
      </right>
      <top style="hair">
        <color rgb="FF000000"/>
      </top>
      <bottom style="thin">
        <color rgb="FF2E75B5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2E75B5"/>
      </bottom>
      <diagonal/>
    </border>
    <border>
      <left style="hair">
        <color rgb="FF000000"/>
      </left>
      <right/>
      <top style="hair">
        <color rgb="FF000000"/>
      </top>
      <bottom style="thin">
        <color rgb="FF2E75B5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6"/>
  </cellStyleXfs>
  <cellXfs count="95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9" fillId="2" borderId="1" xfId="0" applyFont="1" applyFill="1" applyBorder="1"/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vertical="center"/>
    </xf>
    <xf numFmtId="0" fontId="4" fillId="3" borderId="1" xfId="0" applyFont="1" applyFill="1" applyBorder="1"/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165" fontId="9" fillId="3" borderId="7" xfId="0" applyNumberFormat="1" applyFont="1" applyFill="1" applyBorder="1" applyAlignment="1">
      <alignment vertical="center"/>
    </xf>
    <xf numFmtId="165" fontId="7" fillId="0" borderId="0" xfId="0" applyNumberFormat="1" applyFont="1"/>
    <xf numFmtId="0" fontId="4" fillId="0" borderId="0" xfId="0" applyFont="1"/>
    <xf numFmtId="0" fontId="9" fillId="2" borderId="9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vertical="center"/>
    </xf>
    <xf numFmtId="165" fontId="9" fillId="2" borderId="12" xfId="0" applyNumberFormat="1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165" fontId="9" fillId="2" borderId="11" xfId="0" applyNumberFormat="1" applyFont="1" applyFill="1" applyBorder="1" applyAlignment="1">
      <alignment vertical="center"/>
    </xf>
    <xf numFmtId="0" fontId="4" fillId="5" borderId="1" xfId="0" applyFont="1" applyFill="1" applyBorder="1"/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9" fillId="2" borderId="16" xfId="0" applyFont="1" applyFill="1" applyBorder="1" applyAlignment="1">
      <alignment horizontal="center" vertical="center"/>
    </xf>
    <xf numFmtId="165" fontId="9" fillId="2" borderId="16" xfId="0" applyNumberFormat="1" applyFont="1" applyFill="1" applyBorder="1" applyAlignment="1">
      <alignment vertical="center"/>
    </xf>
    <xf numFmtId="165" fontId="9" fillId="2" borderId="17" xfId="0" applyNumberFormat="1" applyFont="1" applyFill="1" applyBorder="1" applyAlignment="1">
      <alignment vertical="center"/>
    </xf>
    <xf numFmtId="165" fontId="12" fillId="8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6" fontId="12" fillId="8" borderId="1" xfId="0" applyNumberFormat="1" applyFont="1" applyFill="1" applyBorder="1" applyAlignment="1">
      <alignment vertical="center"/>
    </xf>
    <xf numFmtId="0" fontId="12" fillId="7" borderId="1" xfId="0" applyFont="1" applyFill="1" applyBorder="1" applyAlignment="1">
      <alignment horizontal="left" vertical="center"/>
    </xf>
    <xf numFmtId="167" fontId="14" fillId="8" borderId="1" xfId="0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right" vertical="center"/>
    </xf>
    <xf numFmtId="165" fontId="9" fillId="0" borderId="11" xfId="0" applyNumberFormat="1" applyFont="1" applyBorder="1" applyAlignment="1">
      <alignment vertical="center"/>
    </xf>
    <xf numFmtId="0" fontId="1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29" xfId="0" applyFont="1" applyBorder="1" applyAlignment="1">
      <alignment horizontal="right"/>
    </xf>
    <xf numFmtId="164" fontId="8" fillId="0" borderId="30" xfId="0" applyNumberFormat="1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168" fontId="18" fillId="3" borderId="32" xfId="0" applyNumberFormat="1" applyFont="1" applyFill="1" applyBorder="1"/>
    <xf numFmtId="167" fontId="7" fillId="0" borderId="0" xfId="0" applyNumberFormat="1" applyFont="1"/>
    <xf numFmtId="0" fontId="18" fillId="9" borderId="33" xfId="0" applyFont="1" applyFill="1" applyBorder="1" applyAlignment="1">
      <alignment horizontal="center"/>
    </xf>
    <xf numFmtId="167" fontId="18" fillId="9" borderId="34" xfId="0" applyNumberFormat="1" applyFont="1" applyFill="1" applyBorder="1"/>
    <xf numFmtId="0" fontId="4" fillId="0" borderId="1" xfId="0" applyFont="1" applyBorder="1"/>
    <xf numFmtId="165" fontId="9" fillId="0" borderId="12" xfId="0" applyNumberFormat="1" applyFont="1" applyBorder="1" applyAlignment="1">
      <alignment vertical="center"/>
    </xf>
    <xf numFmtId="0" fontId="18" fillId="0" borderId="35" xfId="0" applyFont="1" applyBorder="1" applyAlignment="1">
      <alignment horizontal="center"/>
    </xf>
    <xf numFmtId="0" fontId="7" fillId="11" borderId="1" xfId="0" applyFont="1" applyFill="1" applyBorder="1"/>
    <xf numFmtId="165" fontId="9" fillId="0" borderId="8" xfId="0" applyNumberFormat="1" applyFont="1" applyBorder="1" applyAlignment="1">
      <alignment vertical="center"/>
    </xf>
    <xf numFmtId="0" fontId="4" fillId="2" borderId="26" xfId="0" applyFont="1" applyFill="1" applyBorder="1"/>
    <xf numFmtId="0" fontId="10" fillId="4" borderId="2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center" vertical="center" wrapText="1"/>
    </xf>
    <xf numFmtId="0" fontId="0" fillId="10" borderId="0" xfId="0" applyFill="1"/>
    <xf numFmtId="0" fontId="16" fillId="2" borderId="2" xfId="0" applyFont="1" applyFill="1" applyBorder="1" applyAlignment="1">
      <alignment horizontal="center"/>
    </xf>
    <xf numFmtId="0" fontId="6" fillId="0" borderId="4" xfId="0" applyFont="1" applyBorder="1"/>
    <xf numFmtId="0" fontId="6" fillId="0" borderId="3" xfId="0" applyFont="1" applyBorder="1"/>
    <xf numFmtId="0" fontId="5" fillId="2" borderId="2" xfId="0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0" fillId="0" borderId="0" xfId="0"/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12" fillId="7" borderId="2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/>
    </xf>
    <xf numFmtId="0" fontId="11" fillId="6" borderId="18" xfId="0" applyFont="1" applyFill="1" applyBorder="1" applyAlignment="1">
      <alignment vertical="center" wrapText="1"/>
    </xf>
    <xf numFmtId="0" fontId="6" fillId="0" borderId="21" xfId="0" applyFont="1" applyBorder="1" applyAlignment="1"/>
    <xf numFmtId="0" fontId="6" fillId="0" borderId="23" xfId="0" applyFont="1" applyBorder="1" applyAlignment="1"/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1" fillId="0" borderId="26" xfId="1"/>
    <xf numFmtId="0" fontId="9" fillId="12" borderId="5" xfId="0" applyFont="1" applyFill="1" applyBorder="1" applyAlignment="1">
      <alignment vertical="center"/>
    </xf>
    <xf numFmtId="0" fontId="9" fillId="12" borderId="7" xfId="0" applyFont="1" applyFill="1" applyBorder="1" applyAlignment="1">
      <alignment horizontal="center" vertical="center"/>
    </xf>
    <xf numFmtId="165" fontId="9" fillId="13" borderId="7" xfId="0" applyNumberFormat="1" applyFont="1" applyFill="1" applyBorder="1" applyAlignment="1">
      <alignment vertical="center"/>
    </xf>
    <xf numFmtId="165" fontId="9" fillId="14" borderId="8" xfId="0" applyNumberFormat="1" applyFont="1" applyFill="1" applyBorder="1" applyAlignment="1">
      <alignment vertical="center"/>
    </xf>
    <xf numFmtId="0" fontId="9" fillId="12" borderId="9" xfId="0" applyFont="1" applyFill="1" applyBorder="1" applyAlignment="1">
      <alignment vertical="center"/>
    </xf>
    <xf numFmtId="165" fontId="9" fillId="13" borderId="11" xfId="0" applyNumberFormat="1" applyFont="1" applyFill="1" applyBorder="1" applyAlignment="1">
      <alignment vertical="center"/>
    </xf>
    <xf numFmtId="165" fontId="9" fillId="15" borderId="8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center" vertical="center"/>
    </xf>
    <xf numFmtId="0" fontId="19" fillId="16" borderId="36" xfId="0" applyFont="1" applyFill="1" applyBorder="1" applyAlignment="1">
      <alignment horizontal="center" vertical="center"/>
    </xf>
    <xf numFmtId="43" fontId="19" fillId="16" borderId="36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D680D9A3-A1D7-49EF-84EA-37E1DFE67F83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tha/Downloads/Fatura%20Ref%20Se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 PC 303A"/>
      <sheetName val="PR PC 803B"/>
      <sheetName val="PR RR QD05 LT22"/>
      <sheetName val="PR RR QD02 LT14"/>
      <sheetName val="PR RR QD09 LT22"/>
      <sheetName val="PR RR QD20 LT13"/>
      <sheetName val="PR RR QD 03LT15"/>
      <sheetName val="PR RR QD 11 LT 13,14,15"/>
      <sheetName val="PR RR Q 02 Lt 15"/>
      <sheetName val="PR RR QD 19 LT 09"/>
      <sheetName val="PR RR QD 15 LT 20 "/>
      <sheetName val="PR RR QD 13 LT 20"/>
      <sheetName val="PR RR QD 23 LT 20"/>
      <sheetName val="PR RR QD 38 LT 03"/>
      <sheetName val="PR RR QD 33 LT 25"/>
      <sheetName val="PR RR QD 24 LT 21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Y1000"/>
  <sheetViews>
    <sheetView workbookViewId="0">
      <selection activeCell="J10" sqref="J10"/>
    </sheetView>
  </sheetViews>
  <sheetFormatPr defaultColWidth="12.59765625" defaultRowHeight="15" customHeight="1" x14ac:dyDescent="0.25"/>
  <cols>
    <col min="1" max="1" width="6.59765625" customWidth="1"/>
    <col min="2" max="2" width="12.59765625" customWidth="1"/>
    <col min="3" max="3" width="17.59765625" customWidth="1"/>
    <col min="4" max="6" width="6.59765625" customWidth="1"/>
    <col min="7" max="7" width="15.3984375" customWidth="1"/>
    <col min="8" max="8" width="17.59765625" customWidth="1"/>
    <col min="9" max="9" width="9" customWidth="1"/>
    <col min="10" max="10" width="19.8984375" bestFit="1" customWidth="1"/>
    <col min="11" max="11" width="12.09765625" customWidth="1"/>
    <col min="12" max="12" width="32" customWidth="1"/>
    <col min="13" max="25" width="9" customWidth="1"/>
  </cols>
  <sheetData>
    <row r="1" spans="1:25" ht="46.2" x14ac:dyDescent="0.3">
      <c r="A1" s="1" t="s">
        <v>0</v>
      </c>
      <c r="B1" s="2"/>
      <c r="C1" s="2"/>
      <c r="D1" s="2"/>
      <c r="E1" s="2"/>
      <c r="F1" s="3"/>
      <c r="G1" s="62" t="s">
        <v>1</v>
      </c>
      <c r="H1" s="61"/>
      <c r="I1" s="3"/>
      <c r="J1" s="53" t="s">
        <v>41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9.5" customHeight="1" x14ac:dyDescent="0.3">
      <c r="A2" s="4" t="s">
        <v>2</v>
      </c>
      <c r="B2" s="5"/>
      <c r="C2" s="5"/>
      <c r="D2" s="6"/>
      <c r="E2" s="6"/>
      <c r="F2" s="3"/>
      <c r="G2" s="3"/>
      <c r="H2" s="3"/>
      <c r="I2" s="3"/>
      <c r="J2" s="53" t="s">
        <v>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9.5" customHeight="1" x14ac:dyDescent="0.3">
      <c r="A3" s="4" t="s">
        <v>4</v>
      </c>
      <c r="B3" s="6"/>
      <c r="C3" s="6"/>
      <c r="D3" s="6"/>
      <c r="E3" s="6"/>
      <c r="F3" s="3"/>
      <c r="G3" s="3"/>
      <c r="H3" s="3"/>
      <c r="I3" s="3"/>
      <c r="J3" s="53" t="s">
        <v>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9.5" customHeight="1" x14ac:dyDescent="0.3">
      <c r="A4" s="4"/>
      <c r="B4" s="6"/>
      <c r="C4" s="6"/>
      <c r="D4" s="6"/>
      <c r="E4" s="6"/>
      <c r="F4" s="63" t="s">
        <v>6</v>
      </c>
      <c r="G4" s="61"/>
      <c r="H4" s="7" t="s">
        <v>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9.5" customHeight="1" x14ac:dyDescent="0.3">
      <c r="A5" s="6"/>
      <c r="B5" s="6"/>
      <c r="C5" s="6"/>
      <c r="D5" s="6"/>
      <c r="E5" s="6"/>
      <c r="F5" s="64">
        <v>1185</v>
      </c>
      <c r="G5" s="61"/>
      <c r="H5" s="8">
        <v>46204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3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9.5" customHeight="1" x14ac:dyDescent="0.3">
      <c r="A7" s="65" t="s">
        <v>8</v>
      </c>
      <c r="B7" s="60"/>
      <c r="C7" s="61"/>
      <c r="D7" s="6"/>
      <c r="E7" s="9"/>
      <c r="F7" s="63" t="s">
        <v>9</v>
      </c>
      <c r="G7" s="61"/>
      <c r="H7" s="7" t="s">
        <v>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3">
      <c r="A8" s="6" t="s">
        <v>11</v>
      </c>
      <c r="B8" s="6"/>
      <c r="C8" s="6"/>
      <c r="D8" s="6"/>
      <c r="E8" s="9"/>
      <c r="F8" s="64">
        <v>3</v>
      </c>
      <c r="G8" s="61"/>
      <c r="H8" s="8">
        <v>46218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3">
      <c r="A9" s="6" t="s">
        <v>12</v>
      </c>
      <c r="B9" s="6"/>
      <c r="C9" s="6"/>
      <c r="D9" s="6"/>
      <c r="E9" s="9"/>
      <c r="F9" s="6"/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3">
      <c r="A10" s="6" t="s">
        <v>13</v>
      </c>
      <c r="B10" s="6"/>
      <c r="C10" s="6"/>
      <c r="D10" s="6"/>
      <c r="E10" s="9"/>
      <c r="F10" s="6"/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 x14ac:dyDescent="0.3">
      <c r="A11" s="6"/>
      <c r="B11" s="6"/>
      <c r="C11" s="6"/>
      <c r="D11" s="6"/>
      <c r="E11" s="6"/>
      <c r="F11" s="6"/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9.5" customHeight="1" x14ac:dyDescent="0.3">
      <c r="A12" s="10" t="s">
        <v>14</v>
      </c>
      <c r="B12" s="10"/>
      <c r="C12" s="10"/>
      <c r="D12" s="11"/>
      <c r="E12" s="11"/>
      <c r="F12" s="7" t="s">
        <v>15</v>
      </c>
      <c r="G12" s="7" t="s">
        <v>16</v>
      </c>
      <c r="H12" s="7" t="s">
        <v>17</v>
      </c>
      <c r="I12" s="12" t="s">
        <v>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0.25" customHeight="1" x14ac:dyDescent="0.3">
      <c r="A13" s="13" t="s">
        <v>19</v>
      </c>
      <c r="B13" s="13"/>
      <c r="C13" s="13"/>
      <c r="D13" s="13"/>
      <c r="E13" s="14"/>
      <c r="F13" s="15">
        <v>3</v>
      </c>
      <c r="G13" s="16">
        <v>659.45</v>
      </c>
      <c r="H13" s="54">
        <f t="shared" ref="H13:H27" si="0">IF(F13="",ROUND(1*G13,2),ROUND(F13*G13,2))</f>
        <v>1978.35</v>
      </c>
      <c r="I13" s="17"/>
      <c r="J13" s="18"/>
      <c r="K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0.25" customHeight="1" x14ac:dyDescent="0.3">
      <c r="A14" s="19" t="s">
        <v>20</v>
      </c>
      <c r="B14" s="19"/>
      <c r="C14" s="19"/>
      <c r="D14" s="19"/>
      <c r="E14" s="20"/>
      <c r="F14" s="21">
        <v>3</v>
      </c>
      <c r="G14" s="22">
        <v>535.66999999999996</v>
      </c>
      <c r="H14" s="51">
        <f t="shared" si="0"/>
        <v>1607.01</v>
      </c>
      <c r="I14" s="17"/>
      <c r="J14" s="18"/>
      <c r="K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0.25" customHeight="1" x14ac:dyDescent="0.3">
      <c r="A15" s="19" t="s">
        <v>21</v>
      </c>
      <c r="B15" s="19"/>
      <c r="C15" s="19"/>
      <c r="D15" s="19"/>
      <c r="E15" s="20"/>
      <c r="F15" s="21">
        <v>3</v>
      </c>
      <c r="G15" s="22">
        <v>103.66</v>
      </c>
      <c r="H15" s="51">
        <f t="shared" si="0"/>
        <v>310.98</v>
      </c>
      <c r="I15" s="17"/>
      <c r="J15" s="18"/>
      <c r="K15" s="5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0.25" customHeight="1" x14ac:dyDescent="0.3">
      <c r="A16" s="19" t="s">
        <v>22</v>
      </c>
      <c r="B16" s="19"/>
      <c r="C16" s="19"/>
      <c r="D16" s="19"/>
      <c r="E16" s="20"/>
      <c r="F16" s="21">
        <v>3</v>
      </c>
      <c r="G16" s="22">
        <v>56.54</v>
      </c>
      <c r="H16" s="51">
        <f t="shared" si="0"/>
        <v>169.62</v>
      </c>
      <c r="I16" s="17"/>
      <c r="J16" s="26" t="s">
        <v>43</v>
      </c>
      <c r="K16" s="57" t="s">
        <v>40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0.25" customHeight="1" x14ac:dyDescent="0.3">
      <c r="A17" s="24" t="s">
        <v>23</v>
      </c>
      <c r="B17" s="19"/>
      <c r="C17" s="19"/>
      <c r="D17" s="19"/>
      <c r="E17" s="20"/>
      <c r="F17" s="21">
        <v>3</v>
      </c>
      <c r="G17" s="25">
        <v>0</v>
      </c>
      <c r="H17" s="51">
        <f t="shared" si="0"/>
        <v>0</v>
      </c>
      <c r="I17" s="17"/>
      <c r="J17" s="26" t="s">
        <v>44</v>
      </c>
      <c r="K17" s="5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0.25" customHeight="1" x14ac:dyDescent="0.3">
      <c r="A18" s="24" t="s">
        <v>24</v>
      </c>
      <c r="B18" s="19"/>
      <c r="C18" s="19"/>
      <c r="D18" s="19"/>
      <c r="E18" s="20"/>
      <c r="F18" s="21">
        <v>3</v>
      </c>
      <c r="G18" s="38">
        <v>226.7</v>
      </c>
      <c r="H18" s="51">
        <f t="shared" si="0"/>
        <v>680.1</v>
      </c>
      <c r="I18" s="17"/>
      <c r="J18" s="26" t="s">
        <v>45</v>
      </c>
      <c r="K18" s="5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0.25" customHeight="1" x14ac:dyDescent="0.3">
      <c r="A19" s="19" t="s">
        <v>25</v>
      </c>
      <c r="B19" s="19"/>
      <c r="C19" s="19"/>
      <c r="D19" s="19"/>
      <c r="E19" s="20"/>
      <c r="F19" s="21">
        <v>1</v>
      </c>
      <c r="G19" s="38">
        <v>923.74</v>
      </c>
      <c r="H19" s="51">
        <f t="shared" si="0"/>
        <v>923.74</v>
      </c>
      <c r="I19" s="17"/>
      <c r="J19" s="18"/>
      <c r="K19" s="3"/>
      <c r="L19" s="5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0.25" customHeight="1" x14ac:dyDescent="0.3">
      <c r="A20" s="24" t="s">
        <v>26</v>
      </c>
      <c r="B20" s="19"/>
      <c r="C20" s="19"/>
      <c r="D20" s="19"/>
      <c r="E20" s="20"/>
      <c r="F20" s="21">
        <v>1</v>
      </c>
      <c r="G20" s="38">
        <v>381.6</v>
      </c>
      <c r="H20" s="51">
        <f t="shared" si="0"/>
        <v>381.6</v>
      </c>
      <c r="I20" s="17"/>
      <c r="J20" s="26" t="s">
        <v>46</v>
      </c>
      <c r="K20" s="57" t="s">
        <v>39</v>
      </c>
      <c r="L20" s="5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0.25" customHeight="1" x14ac:dyDescent="0.3">
      <c r="A21" s="19" t="s">
        <v>28</v>
      </c>
      <c r="B21" s="19"/>
      <c r="C21" s="19"/>
      <c r="D21" s="19"/>
      <c r="E21" s="20"/>
      <c r="F21" s="21">
        <v>3</v>
      </c>
      <c r="G21" s="25">
        <v>0</v>
      </c>
      <c r="H21" s="51">
        <f t="shared" si="0"/>
        <v>0</v>
      </c>
      <c r="I21" s="17"/>
      <c r="J21" s="26" t="s">
        <v>47</v>
      </c>
      <c r="K21" s="58"/>
      <c r="L21" s="5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0.25" customHeight="1" x14ac:dyDescent="0.3">
      <c r="A22" s="19"/>
      <c r="B22" s="19"/>
      <c r="C22" s="19"/>
      <c r="D22" s="19"/>
      <c r="E22" s="20"/>
      <c r="F22" s="21"/>
      <c r="G22" s="25"/>
      <c r="H22" s="51">
        <f t="shared" si="0"/>
        <v>0</v>
      </c>
      <c r="I22" s="17"/>
      <c r="J22" s="26" t="s">
        <v>48</v>
      </c>
      <c r="K22" s="58"/>
      <c r="L22" s="5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0.25" customHeight="1" x14ac:dyDescent="0.3">
      <c r="A23" s="19"/>
      <c r="B23" s="19"/>
      <c r="C23" s="19"/>
      <c r="D23" s="19"/>
      <c r="E23" s="20"/>
      <c r="F23" s="21"/>
      <c r="G23" s="25"/>
      <c r="H23" s="51">
        <f t="shared" si="0"/>
        <v>0</v>
      </c>
      <c r="I23" s="17"/>
      <c r="K23" s="3"/>
      <c r="L23" s="5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0.25" customHeight="1" x14ac:dyDescent="0.3">
      <c r="A24" s="19"/>
      <c r="B24" s="19"/>
      <c r="C24" s="19"/>
      <c r="D24" s="19"/>
      <c r="E24" s="20"/>
      <c r="F24" s="21"/>
      <c r="G24" s="25"/>
      <c r="H24" s="51">
        <f t="shared" si="0"/>
        <v>0</v>
      </c>
      <c r="I24" s="17"/>
      <c r="J24" s="26" t="s">
        <v>49</v>
      </c>
      <c r="K24" s="57" t="s">
        <v>27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0.25" customHeight="1" x14ac:dyDescent="0.3">
      <c r="A25" s="19"/>
      <c r="B25" s="19"/>
      <c r="C25" s="19"/>
      <c r="D25" s="19"/>
      <c r="E25" s="20"/>
      <c r="F25" s="21"/>
      <c r="G25" s="25"/>
      <c r="H25" s="51">
        <f t="shared" si="0"/>
        <v>0</v>
      </c>
      <c r="I25" s="17"/>
      <c r="J25" s="26" t="s">
        <v>50</v>
      </c>
      <c r="K25" s="5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0.25" customHeight="1" x14ac:dyDescent="0.3">
      <c r="A26" s="19"/>
      <c r="B26" s="19"/>
      <c r="C26" s="19"/>
      <c r="D26" s="19"/>
      <c r="E26" s="20"/>
      <c r="F26" s="21"/>
      <c r="G26" s="25"/>
      <c r="H26" s="51">
        <f t="shared" si="0"/>
        <v>0</v>
      </c>
      <c r="I26" s="17"/>
      <c r="J26" s="26" t="s">
        <v>51</v>
      </c>
      <c r="K26" s="5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0.25" customHeight="1" x14ac:dyDescent="0.3">
      <c r="A27" s="27"/>
      <c r="B27" s="27"/>
      <c r="C27" s="27"/>
      <c r="D27" s="27"/>
      <c r="E27" s="28"/>
      <c r="F27" s="29"/>
      <c r="G27" s="30"/>
      <c r="H27" s="31">
        <f t="shared" si="0"/>
        <v>0</v>
      </c>
      <c r="I27" s="1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0.25" customHeight="1" x14ac:dyDescent="0.3">
      <c r="A28" s="66" t="s">
        <v>29</v>
      </c>
      <c r="B28" s="67"/>
      <c r="C28" s="67"/>
      <c r="D28" s="67"/>
      <c r="E28" s="68"/>
      <c r="F28" s="75" t="s">
        <v>30</v>
      </c>
      <c r="G28" s="61"/>
      <c r="H28" s="32">
        <f>SUM(H13:H27)</f>
        <v>6051.4</v>
      </c>
      <c r="I28" s="17"/>
      <c r="J28" s="3"/>
      <c r="K28" s="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25" customHeight="1" x14ac:dyDescent="0.3">
      <c r="A29" s="69"/>
      <c r="B29" s="70"/>
      <c r="C29" s="70"/>
      <c r="D29" s="70"/>
      <c r="E29" s="71"/>
      <c r="F29" s="75"/>
      <c r="G29" s="61"/>
      <c r="H29" s="34"/>
      <c r="I29" s="1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0.25" customHeight="1" x14ac:dyDescent="0.3">
      <c r="A30" s="69"/>
      <c r="B30" s="70"/>
      <c r="C30" s="70"/>
      <c r="D30" s="70"/>
      <c r="E30" s="71"/>
      <c r="F30" s="35"/>
      <c r="G30" s="35"/>
      <c r="H30" s="32">
        <f>H28*H29</f>
        <v>0</v>
      </c>
      <c r="I30" s="1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0.25" customHeight="1" x14ac:dyDescent="0.3">
      <c r="A31" s="72"/>
      <c r="B31" s="73"/>
      <c r="C31" s="73"/>
      <c r="D31" s="73"/>
      <c r="E31" s="74"/>
      <c r="F31" s="76" t="s">
        <v>31</v>
      </c>
      <c r="G31" s="61"/>
      <c r="H31" s="36">
        <f>H28+H30</f>
        <v>6051.4</v>
      </c>
      <c r="I31" s="1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3">
      <c r="A32" s="6"/>
      <c r="B32" s="9"/>
      <c r="C32" s="9"/>
      <c r="D32" s="9"/>
      <c r="E32" s="9"/>
      <c r="F32" s="37"/>
      <c r="G32" s="37"/>
      <c r="H32" s="37"/>
      <c r="I32" s="3"/>
      <c r="J32" s="33"/>
      <c r="K32" s="3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3.5" customHeight="1" x14ac:dyDescent="0.3">
      <c r="A33" s="9"/>
      <c r="B33" s="9"/>
      <c r="C33" s="9"/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3.5" customHeight="1" x14ac:dyDescent="0.3">
      <c r="A34" s="77" t="s">
        <v>32</v>
      </c>
      <c r="B34" s="60"/>
      <c r="C34" s="60"/>
      <c r="D34" s="60"/>
      <c r="E34" s="60"/>
      <c r="F34" s="60"/>
      <c r="G34" s="60"/>
      <c r="H34" s="6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3.5" customHeight="1" x14ac:dyDescent="0.3">
      <c r="A35" s="59" t="s">
        <v>33</v>
      </c>
      <c r="B35" s="60"/>
      <c r="C35" s="60"/>
      <c r="D35" s="60"/>
      <c r="E35" s="60"/>
      <c r="F35" s="60"/>
      <c r="G35" s="60"/>
      <c r="H35" s="6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3">
      <c r="J236" s="3"/>
      <c r="K236" s="3"/>
    </row>
    <row r="237" spans="1:25" ht="15.75" customHeight="1" x14ac:dyDescent="0.3">
      <c r="J237" s="3"/>
      <c r="K237" s="3"/>
    </row>
    <row r="238" spans="1:25" ht="15.75" customHeight="1" x14ac:dyDescent="0.3">
      <c r="J238" s="3"/>
      <c r="K238" s="3"/>
    </row>
    <row r="239" spans="1:25" ht="15.75" customHeight="1" x14ac:dyDescent="0.3">
      <c r="J239" s="3"/>
      <c r="K239" s="3"/>
    </row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K24:K26"/>
    <mergeCell ref="K20:K22"/>
    <mergeCell ref="A35:H35"/>
    <mergeCell ref="G1:H1"/>
    <mergeCell ref="F4:G4"/>
    <mergeCell ref="F5:G5"/>
    <mergeCell ref="A7:C7"/>
    <mergeCell ref="F7:G7"/>
    <mergeCell ref="F8:G8"/>
    <mergeCell ref="A28:E31"/>
    <mergeCell ref="F28:G28"/>
    <mergeCell ref="F29:G29"/>
    <mergeCell ref="F31:G31"/>
    <mergeCell ref="A34:H34"/>
    <mergeCell ref="K16:K18"/>
  </mergeCells>
  <dataValidations count="1">
    <dataValidation type="list" allowBlank="1" showErrorMessage="1" sqref="G1" xr:uid="{00000000-0002-0000-0000-000000000000}">
      <formula1>"FATURA,RECIBO"</formula1>
    </dataValidation>
  </dataValidation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8952-A18C-41A5-9ABF-8C2CF6AB8175}">
  <dimension ref="A1:L997"/>
  <sheetViews>
    <sheetView tabSelected="1" workbookViewId="0">
      <selection activeCell="C13" sqref="C13"/>
    </sheetView>
  </sheetViews>
  <sheetFormatPr defaultColWidth="12.59765625" defaultRowHeight="13.8" x14ac:dyDescent="0.25"/>
  <cols>
    <col min="1" max="1" width="59.8984375" bestFit="1" customWidth="1"/>
    <col min="2" max="2" width="6.59765625" customWidth="1"/>
    <col min="3" max="3" width="15.3984375" customWidth="1"/>
    <col min="4" max="4" width="17.59765625" customWidth="1"/>
    <col min="6" max="6" width="7.59765625" style="81" bestFit="1" customWidth="1"/>
    <col min="7" max="7" width="5.5" style="81" bestFit="1" customWidth="1"/>
    <col min="8" max="8" width="16.69921875" style="81" bestFit="1" customWidth="1"/>
    <col min="9" max="9" width="12" style="81" bestFit="1" customWidth="1"/>
    <col min="10" max="10" width="40.8984375" style="81" bestFit="1" customWidth="1"/>
    <col min="11" max="11" width="21" style="81" bestFit="1" customWidth="1"/>
    <col min="12" max="12" width="15.09765625" style="81" bestFit="1" customWidth="1"/>
  </cols>
  <sheetData>
    <row r="1" spans="1:12" ht="46.5" customHeight="1" x14ac:dyDescent="0.3">
      <c r="A1" s="1" t="s">
        <v>0</v>
      </c>
      <c r="B1" s="3"/>
      <c r="C1" s="62" t="s">
        <v>1</v>
      </c>
      <c r="D1" s="61"/>
      <c r="F1" s="82" t="s">
        <v>53</v>
      </c>
      <c r="G1" s="82" t="s">
        <v>54</v>
      </c>
      <c r="H1" s="82" t="s">
        <v>55</v>
      </c>
      <c r="I1" s="82" t="s">
        <v>56</v>
      </c>
      <c r="J1" s="82" t="s">
        <v>57</v>
      </c>
      <c r="K1" s="82" t="s">
        <v>58</v>
      </c>
      <c r="L1" s="82" t="s">
        <v>59</v>
      </c>
    </row>
    <row r="2" spans="1:12" ht="19.5" customHeight="1" x14ac:dyDescent="0.3">
      <c r="A2" s="4" t="s">
        <v>2</v>
      </c>
      <c r="B2" s="3"/>
      <c r="C2" s="3"/>
      <c r="D2" s="3"/>
      <c r="F2" s="82" t="s">
        <v>60</v>
      </c>
      <c r="G2" s="82"/>
      <c r="H2" s="83">
        <v>46188</v>
      </c>
      <c r="I2" s="82">
        <v>125</v>
      </c>
      <c r="J2" s="82" t="s">
        <v>63</v>
      </c>
      <c r="K2" s="82" t="s">
        <v>64</v>
      </c>
      <c r="L2" s="82"/>
    </row>
    <row r="3" spans="1:12" ht="19.5" customHeight="1" x14ac:dyDescent="0.3">
      <c r="A3" s="4" t="s">
        <v>4</v>
      </c>
      <c r="B3" s="3"/>
      <c r="C3" s="3"/>
      <c r="D3" s="3"/>
      <c r="F3" s="82" t="s">
        <v>61</v>
      </c>
      <c r="G3" s="82"/>
      <c r="H3" s="83">
        <v>46188</v>
      </c>
      <c r="I3" s="82">
        <v>128</v>
      </c>
      <c r="J3" s="82" t="s">
        <v>63</v>
      </c>
      <c r="K3" s="82" t="s">
        <v>65</v>
      </c>
      <c r="L3" s="82"/>
    </row>
    <row r="4" spans="1:12" ht="19.5" customHeight="1" x14ac:dyDescent="0.25">
      <c r="A4" s="4"/>
      <c r="B4" s="63" t="s">
        <v>6</v>
      </c>
      <c r="C4" s="61"/>
      <c r="D4" s="7" t="s">
        <v>7</v>
      </c>
      <c r="F4" s="82" t="s">
        <v>62</v>
      </c>
      <c r="G4" s="82"/>
      <c r="H4" s="83">
        <v>46188</v>
      </c>
      <c r="I4" s="82">
        <v>55</v>
      </c>
      <c r="J4" s="82" t="s">
        <v>63</v>
      </c>
      <c r="K4" s="82" t="s">
        <v>66</v>
      </c>
      <c r="L4" s="82"/>
    </row>
    <row r="5" spans="1:12" ht="19.5" customHeight="1" x14ac:dyDescent="0.3">
      <c r="A5" s="6"/>
      <c r="B5" s="64">
        <v>1195</v>
      </c>
      <c r="C5" s="61"/>
      <c r="D5" s="8">
        <v>46188</v>
      </c>
      <c r="F5" s="82" t="s">
        <v>60</v>
      </c>
      <c r="G5" s="82"/>
      <c r="H5" s="83">
        <v>46188</v>
      </c>
      <c r="I5" s="82">
        <v>125</v>
      </c>
      <c r="J5" s="82" t="s">
        <v>72</v>
      </c>
      <c r="K5" s="82" t="s">
        <v>88</v>
      </c>
      <c r="L5" s="82"/>
    </row>
    <row r="6" spans="1:12" ht="14.25" customHeight="1" x14ac:dyDescent="0.25">
      <c r="A6" s="6"/>
      <c r="B6" s="6"/>
      <c r="C6" s="6"/>
      <c r="D6" s="6"/>
      <c r="F6" s="82" t="s">
        <v>61</v>
      </c>
      <c r="G6" s="82"/>
      <c r="H6" s="83">
        <v>46188</v>
      </c>
      <c r="I6" s="82">
        <v>128</v>
      </c>
      <c r="J6" s="82" t="s">
        <v>72</v>
      </c>
      <c r="K6" s="82" t="s">
        <v>88</v>
      </c>
      <c r="L6" s="82"/>
    </row>
    <row r="7" spans="1:12" ht="19.5" customHeight="1" x14ac:dyDescent="0.25">
      <c r="A7" s="56" t="s">
        <v>8</v>
      </c>
      <c r="B7" s="63" t="s">
        <v>9</v>
      </c>
      <c r="C7" s="61"/>
      <c r="D7" s="7" t="s">
        <v>10</v>
      </c>
      <c r="F7" s="82" t="s">
        <v>62</v>
      </c>
      <c r="G7" s="82"/>
      <c r="H7" s="83">
        <v>46188</v>
      </c>
      <c r="I7" s="82">
        <v>55</v>
      </c>
      <c r="J7" s="82" t="s">
        <v>72</v>
      </c>
      <c r="K7" s="82" t="s">
        <v>88</v>
      </c>
      <c r="L7" s="82"/>
    </row>
    <row r="8" spans="1:12" ht="15.75" customHeight="1" x14ac:dyDescent="0.3">
      <c r="A8" s="6" t="s">
        <v>52</v>
      </c>
      <c r="B8" s="64">
        <v>3</v>
      </c>
      <c r="C8" s="61"/>
      <c r="D8" s="8">
        <v>46218</v>
      </c>
      <c r="F8" s="82"/>
      <c r="G8" s="82"/>
      <c r="H8" s="82"/>
      <c r="I8" s="82"/>
      <c r="J8" s="82"/>
      <c r="K8" s="82"/>
      <c r="L8" s="82"/>
    </row>
    <row r="9" spans="1:12" ht="15.75" customHeight="1" x14ac:dyDescent="0.25">
      <c r="A9" s="6" t="s">
        <v>12</v>
      </c>
      <c r="B9" s="6"/>
      <c r="C9" s="6"/>
      <c r="D9" s="6"/>
      <c r="F9" s="82"/>
      <c r="G9" s="82"/>
      <c r="H9" s="82"/>
      <c r="I9" s="82"/>
      <c r="J9" s="82"/>
      <c r="K9" s="82"/>
      <c r="L9" s="82"/>
    </row>
    <row r="10" spans="1:12" ht="15.75" customHeight="1" x14ac:dyDescent="0.25">
      <c r="A10" s="6" t="s">
        <v>13</v>
      </c>
      <c r="B10" s="6"/>
      <c r="C10" s="6"/>
      <c r="D10" s="6"/>
      <c r="F10" s="82"/>
      <c r="G10" s="82"/>
      <c r="H10" s="82"/>
      <c r="I10" s="82"/>
      <c r="J10" s="82"/>
      <c r="K10" s="82"/>
      <c r="L10" s="82"/>
    </row>
    <row r="11" spans="1:12" ht="14.25" customHeight="1" x14ac:dyDescent="0.25">
      <c r="A11" s="6"/>
      <c r="B11" s="6"/>
      <c r="C11" s="6"/>
      <c r="D11" s="6"/>
      <c r="F11" s="82"/>
      <c r="G11" s="82"/>
      <c r="H11" s="82"/>
      <c r="I11" s="82"/>
      <c r="J11" s="82"/>
      <c r="K11" s="82"/>
      <c r="L11" s="82"/>
    </row>
    <row r="12" spans="1:12" ht="19.5" customHeight="1" x14ac:dyDescent="0.25">
      <c r="A12" s="10" t="s">
        <v>14</v>
      </c>
      <c r="B12" s="7" t="s">
        <v>89</v>
      </c>
      <c r="C12" s="7" t="s">
        <v>16</v>
      </c>
      <c r="D12" s="7" t="s">
        <v>17</v>
      </c>
      <c r="F12" s="82"/>
      <c r="G12" s="82"/>
      <c r="H12" s="82"/>
      <c r="I12" s="82"/>
      <c r="J12" s="82"/>
      <c r="K12" s="82"/>
      <c r="L12" s="82"/>
    </row>
    <row r="13" spans="1:12" ht="20.25" customHeight="1" x14ac:dyDescent="0.25">
      <c r="A13" s="85" t="s">
        <v>19</v>
      </c>
      <c r="B13" s="86" t="s">
        <v>90</v>
      </c>
      <c r="C13" s="87">
        <v>725.4</v>
      </c>
      <c r="D13" s="88">
        <f>ROUND(IF(C13="",0,IF(B13="Rateio",C13/B$8,C13)),2)</f>
        <v>241.8</v>
      </c>
      <c r="F13" s="82"/>
      <c r="G13" s="82"/>
      <c r="H13" s="82"/>
      <c r="I13" s="82"/>
      <c r="J13" s="82"/>
      <c r="K13" s="82"/>
      <c r="L13" s="82"/>
    </row>
    <row r="14" spans="1:12" ht="20.25" customHeight="1" x14ac:dyDescent="0.25">
      <c r="A14" s="89" t="s">
        <v>20</v>
      </c>
      <c r="B14" s="86" t="s">
        <v>90</v>
      </c>
      <c r="C14" s="90">
        <v>1016.95</v>
      </c>
      <c r="D14" s="88">
        <f t="shared" ref="D14:D26" si="0">ROUND(IF(C14="",0,IF(B14="Rateio",C14/B$8,C14)),2)</f>
        <v>338.98</v>
      </c>
      <c r="F14" s="82"/>
      <c r="G14" s="82"/>
      <c r="H14" s="82"/>
      <c r="I14" s="82"/>
      <c r="J14" s="82"/>
      <c r="K14" s="82"/>
      <c r="L14" s="82"/>
    </row>
    <row r="15" spans="1:12" ht="20.25" customHeight="1" x14ac:dyDescent="0.25">
      <c r="A15" s="89" t="s">
        <v>21</v>
      </c>
      <c r="B15" s="86" t="s">
        <v>90</v>
      </c>
      <c r="C15" s="90">
        <v>115</v>
      </c>
      <c r="D15" s="88">
        <f t="shared" si="0"/>
        <v>38.33</v>
      </c>
      <c r="F15" s="82"/>
      <c r="G15" s="82"/>
      <c r="H15" s="82"/>
      <c r="I15" s="82"/>
      <c r="J15" s="82"/>
      <c r="K15" s="82"/>
      <c r="L15" s="82"/>
    </row>
    <row r="16" spans="1:12" ht="20.25" customHeight="1" x14ac:dyDescent="0.25">
      <c r="A16" s="89" t="s">
        <v>22</v>
      </c>
      <c r="B16" s="86" t="s">
        <v>90</v>
      </c>
      <c r="C16" s="90">
        <v>62.2</v>
      </c>
      <c r="D16" s="88">
        <f t="shared" si="0"/>
        <v>20.73</v>
      </c>
      <c r="F16" s="82"/>
      <c r="G16" s="82"/>
      <c r="H16" s="82"/>
      <c r="I16" s="82"/>
      <c r="J16" s="82"/>
      <c r="K16" s="82"/>
      <c r="L16" s="82"/>
    </row>
    <row r="17" spans="1:12" ht="20.25" customHeight="1" x14ac:dyDescent="0.25">
      <c r="A17" s="24" t="s">
        <v>23</v>
      </c>
      <c r="B17" s="21" t="s">
        <v>90</v>
      </c>
      <c r="C17" s="25">
        <v>0</v>
      </c>
      <c r="D17" s="91">
        <f t="shared" si="0"/>
        <v>0</v>
      </c>
      <c r="F17" s="82"/>
      <c r="G17" s="82"/>
      <c r="H17" s="82"/>
      <c r="I17" s="82"/>
      <c r="J17" s="82"/>
      <c r="K17" s="82"/>
      <c r="L17" s="82"/>
    </row>
    <row r="18" spans="1:12" ht="20.25" customHeight="1" x14ac:dyDescent="0.25">
      <c r="A18" s="19" t="s">
        <v>28</v>
      </c>
      <c r="B18" s="21" t="s">
        <v>90</v>
      </c>
      <c r="C18" s="38">
        <v>501.1</v>
      </c>
      <c r="D18" s="91">
        <f>ROUND(IF(C18="",0,IF(B18="Rateio",C18/B$8,C18)),2)</f>
        <v>167.03</v>
      </c>
      <c r="F18" s="82"/>
      <c r="G18" s="82"/>
      <c r="H18" s="82"/>
      <c r="I18" s="82"/>
      <c r="J18" s="82"/>
      <c r="K18" s="82"/>
      <c r="L18" s="82"/>
    </row>
    <row r="19" spans="1:12" ht="20.25" customHeight="1" x14ac:dyDescent="0.25">
      <c r="A19" s="24" t="s">
        <v>24</v>
      </c>
      <c r="B19" s="21" t="s">
        <v>60</v>
      </c>
      <c r="C19" s="38">
        <v>65</v>
      </c>
      <c r="D19" s="91">
        <f t="shared" si="0"/>
        <v>65</v>
      </c>
      <c r="F19" s="82"/>
      <c r="G19" s="82"/>
      <c r="H19" s="82"/>
      <c r="I19" s="82"/>
      <c r="J19" s="82"/>
      <c r="K19" s="82"/>
      <c r="L19" s="82"/>
    </row>
    <row r="20" spans="1:12" ht="20.25" customHeight="1" x14ac:dyDescent="0.25">
      <c r="A20" s="24" t="s">
        <v>24</v>
      </c>
      <c r="B20" s="21" t="s">
        <v>61</v>
      </c>
      <c r="C20" s="38">
        <v>90</v>
      </c>
      <c r="D20" s="91">
        <f t="shared" si="0"/>
        <v>90</v>
      </c>
      <c r="F20" s="82"/>
      <c r="G20" s="82"/>
      <c r="H20" s="82"/>
      <c r="I20" s="82"/>
      <c r="J20" s="82"/>
      <c r="K20" s="82"/>
      <c r="L20" s="82"/>
    </row>
    <row r="21" spans="1:12" ht="20.25" customHeight="1" x14ac:dyDescent="0.25">
      <c r="A21" s="24" t="s">
        <v>24</v>
      </c>
      <c r="B21" s="21" t="s">
        <v>62</v>
      </c>
      <c r="C21" s="38">
        <v>100</v>
      </c>
      <c r="D21" s="91">
        <f t="shared" si="0"/>
        <v>100</v>
      </c>
      <c r="F21" s="82"/>
      <c r="G21" s="82"/>
      <c r="H21" s="82"/>
      <c r="I21" s="82"/>
      <c r="J21" s="82"/>
      <c r="K21" s="82"/>
      <c r="L21" s="82"/>
    </row>
    <row r="22" spans="1:12" ht="20.25" customHeight="1" x14ac:dyDescent="0.25">
      <c r="A22" s="19" t="s">
        <v>25</v>
      </c>
      <c r="B22" s="21" t="s">
        <v>60</v>
      </c>
      <c r="C22" s="38">
        <v>20</v>
      </c>
      <c r="D22" s="91">
        <f>ROUND(IF(C22="",0,IF(B22="Rateio",C22/B$8,C22)),2)</f>
        <v>20</v>
      </c>
      <c r="F22" s="82"/>
      <c r="G22" s="82"/>
      <c r="H22" s="82"/>
      <c r="I22" s="82"/>
      <c r="J22" s="82"/>
      <c r="K22" s="82"/>
      <c r="L22" s="82"/>
    </row>
    <row r="23" spans="1:12" ht="20.25" customHeight="1" x14ac:dyDescent="0.25">
      <c r="A23" s="19" t="s">
        <v>25</v>
      </c>
      <c r="B23" s="21" t="s">
        <v>61</v>
      </c>
      <c r="C23" s="25">
        <v>15</v>
      </c>
      <c r="D23" s="91">
        <f t="shared" si="0"/>
        <v>15</v>
      </c>
      <c r="F23" s="82"/>
      <c r="G23" s="82"/>
      <c r="H23" s="82"/>
      <c r="I23" s="82"/>
      <c r="J23" s="82"/>
      <c r="K23" s="82"/>
      <c r="L23" s="82"/>
    </row>
    <row r="24" spans="1:12" ht="20.25" customHeight="1" x14ac:dyDescent="0.25">
      <c r="A24" s="19" t="s">
        <v>25</v>
      </c>
      <c r="B24" s="21" t="s">
        <v>62</v>
      </c>
      <c r="C24" s="25">
        <v>10</v>
      </c>
      <c r="D24" s="91">
        <f t="shared" si="0"/>
        <v>10</v>
      </c>
      <c r="F24" s="82"/>
      <c r="G24" s="82"/>
      <c r="H24" s="82"/>
      <c r="I24" s="82"/>
      <c r="J24" s="82"/>
      <c r="K24" s="82"/>
      <c r="L24" s="82"/>
    </row>
    <row r="25" spans="1:12" ht="20.25" customHeight="1" x14ac:dyDescent="0.25">
      <c r="A25" s="24" t="s">
        <v>26</v>
      </c>
      <c r="B25" s="21" t="s">
        <v>60</v>
      </c>
      <c r="C25" s="25">
        <v>25</v>
      </c>
      <c r="D25" s="91">
        <f t="shared" si="0"/>
        <v>25</v>
      </c>
      <c r="F25" s="82"/>
      <c r="G25" s="82"/>
      <c r="H25" s="82"/>
      <c r="I25" s="82"/>
      <c r="J25" s="82"/>
      <c r="K25" s="82"/>
      <c r="L25" s="82"/>
    </row>
    <row r="26" spans="1:12" ht="20.25" customHeight="1" x14ac:dyDescent="0.25">
      <c r="A26" s="24" t="s">
        <v>26</v>
      </c>
      <c r="B26" s="21" t="s">
        <v>61</v>
      </c>
      <c r="C26" s="25">
        <v>55</v>
      </c>
      <c r="D26" s="91">
        <f t="shared" si="0"/>
        <v>55</v>
      </c>
      <c r="F26" s="82"/>
      <c r="G26" s="82"/>
      <c r="H26" s="82"/>
      <c r="I26" s="82"/>
      <c r="J26" s="82"/>
      <c r="K26" s="82"/>
      <c r="L26" s="82"/>
    </row>
    <row r="27" spans="1:12" ht="20.25" customHeight="1" x14ac:dyDescent="0.25">
      <c r="A27" s="24" t="s">
        <v>26</v>
      </c>
      <c r="B27" s="21" t="s">
        <v>62</v>
      </c>
      <c r="C27" s="25">
        <v>80</v>
      </c>
      <c r="D27" s="91">
        <f>ROUND(IF(C27="",0,IF(B27="Rateio",C27/B$8,C27)),2)</f>
        <v>80</v>
      </c>
      <c r="F27" s="82"/>
      <c r="G27" s="82"/>
      <c r="H27" s="82"/>
      <c r="I27" s="82"/>
      <c r="J27" s="82"/>
      <c r="K27" s="82"/>
      <c r="L27" s="82"/>
    </row>
    <row r="28" spans="1:12" ht="20.25" customHeight="1" x14ac:dyDescent="0.25">
      <c r="A28" s="19"/>
      <c r="B28" s="21"/>
      <c r="C28" s="25"/>
      <c r="D28" s="23">
        <f t="shared" ref="D13:D29" si="1">IF(B28="",ROUND(1*C28,2),ROUND(B28*C28,2))</f>
        <v>0</v>
      </c>
      <c r="F28" s="82"/>
      <c r="G28" s="82"/>
      <c r="H28" s="82"/>
      <c r="I28" s="82"/>
      <c r="J28" s="82"/>
      <c r="K28" s="82"/>
      <c r="L28" s="82"/>
    </row>
    <row r="29" spans="1:12" ht="20.25" customHeight="1" x14ac:dyDescent="0.25">
      <c r="A29" s="27"/>
      <c r="B29" s="29"/>
      <c r="C29" s="30"/>
      <c r="D29" s="31">
        <f t="shared" si="1"/>
        <v>0</v>
      </c>
      <c r="F29" s="82"/>
      <c r="G29" s="82"/>
      <c r="H29" s="82"/>
      <c r="I29" s="82"/>
      <c r="J29" s="82"/>
      <c r="K29" s="82"/>
      <c r="L29" s="82"/>
    </row>
    <row r="30" spans="1:12" ht="20.25" customHeight="1" x14ac:dyDescent="0.25">
      <c r="A30" s="78"/>
      <c r="B30" s="75" t="s">
        <v>30</v>
      </c>
      <c r="C30" s="61"/>
      <c r="D30" s="32">
        <f>SUM(D13:D29)</f>
        <v>1266.8699999999999</v>
      </c>
      <c r="H30" s="81" t="s">
        <v>91</v>
      </c>
      <c r="I30" s="81">
        <f>SUM(I2:I29)</f>
        <v>616</v>
      </c>
    </row>
    <row r="31" spans="1:12" ht="20.25" customHeight="1" x14ac:dyDescent="0.25">
      <c r="A31" s="79"/>
      <c r="B31" s="75"/>
      <c r="C31" s="75"/>
      <c r="D31" s="34"/>
      <c r="I31" s="92"/>
    </row>
    <row r="32" spans="1:12" ht="20.25" customHeight="1" x14ac:dyDescent="0.25">
      <c r="A32" s="79"/>
      <c r="B32" s="35"/>
      <c r="C32" s="35"/>
      <c r="D32" s="32">
        <f>D30*D31</f>
        <v>0</v>
      </c>
    </row>
    <row r="33" spans="1:9" ht="20.25" customHeight="1" x14ac:dyDescent="0.25">
      <c r="A33" s="80"/>
      <c r="B33" s="76" t="s">
        <v>31</v>
      </c>
      <c r="C33" s="61"/>
      <c r="D33" s="36">
        <f>D30+D32</f>
        <v>1266.8699999999999</v>
      </c>
      <c r="H33" s="93" t="s">
        <v>92</v>
      </c>
      <c r="I33" s="94">
        <f>SUM(D13:D18)+SUMIF(B19:B27,"A",D19:D27)+SUMIF(F2:F29,"A",I2:I29)</f>
        <v>1166.8699999999999</v>
      </c>
    </row>
    <row r="34" spans="1:9" ht="15.75" customHeight="1" x14ac:dyDescent="0.3">
      <c r="A34" s="3"/>
      <c r="B34" s="3"/>
      <c r="C34" s="3"/>
      <c r="D34" s="3"/>
      <c r="H34" s="93" t="s">
        <v>93</v>
      </c>
      <c r="I34" s="94">
        <f>SUM(D13:D18)+SUMIF(B19:B27,"B",D19:D27)+SUMIF(F2:F29,"B",I2:I29)</f>
        <v>1222.8699999999999</v>
      </c>
    </row>
    <row r="35" spans="1:9" ht="15.75" customHeight="1" x14ac:dyDescent="0.3">
      <c r="A35" s="3"/>
      <c r="B35" s="3"/>
      <c r="C35" s="3"/>
      <c r="D35" s="3"/>
      <c r="H35" s="93" t="s">
        <v>94</v>
      </c>
      <c r="I35" s="94">
        <f>SUM(D13:D18)+SUMIF(B19:B27,"C",D19:D27)+SUMIF(F2:F29,"C",I2:I29)</f>
        <v>1106.8699999999999</v>
      </c>
    </row>
    <row r="36" spans="1:9" ht="15.75" customHeight="1" x14ac:dyDescent="0.3">
      <c r="A36" s="3"/>
      <c r="B36" s="3"/>
      <c r="C36" s="3"/>
      <c r="D36" s="3"/>
      <c r="H36" s="93" t="s">
        <v>95</v>
      </c>
      <c r="I36" s="94">
        <f>SUM(I33:I35)</f>
        <v>3496.6099999999997</v>
      </c>
    </row>
    <row r="37" spans="1:9" ht="15.75" customHeight="1" x14ac:dyDescent="0.3">
      <c r="A37" s="3"/>
      <c r="B37" s="3"/>
      <c r="C37" s="3"/>
      <c r="D37" s="3"/>
    </row>
    <row r="38" spans="1:9" ht="15.75" customHeight="1" x14ac:dyDescent="0.3">
      <c r="A38" s="3"/>
      <c r="B38" s="3"/>
      <c r="C38" s="3"/>
      <c r="D38" s="3"/>
    </row>
    <row r="39" spans="1:9" ht="15.75" customHeight="1" x14ac:dyDescent="0.3">
      <c r="A39" s="3"/>
      <c r="B39" s="3"/>
      <c r="C39" s="3"/>
      <c r="D39" s="3"/>
    </row>
    <row r="40" spans="1:9" ht="15.75" customHeight="1" x14ac:dyDescent="0.3">
      <c r="A40" s="3"/>
      <c r="B40" s="3"/>
      <c r="C40" s="3"/>
      <c r="D40" s="3"/>
    </row>
    <row r="41" spans="1:9" ht="15.75" customHeight="1" x14ac:dyDescent="0.3">
      <c r="A41" s="3"/>
      <c r="B41" s="3"/>
      <c r="C41" s="3"/>
      <c r="D41" s="3"/>
    </row>
    <row r="42" spans="1:9" ht="15.75" customHeight="1" x14ac:dyDescent="0.3">
      <c r="A42" s="3"/>
      <c r="B42" s="3"/>
      <c r="C42" s="3"/>
      <c r="D42" s="3"/>
    </row>
    <row r="43" spans="1:9" ht="15.75" customHeight="1" x14ac:dyDescent="0.3">
      <c r="A43" s="3"/>
      <c r="B43" s="3"/>
      <c r="C43" s="3"/>
      <c r="D43" s="3"/>
    </row>
    <row r="44" spans="1:9" ht="15.75" customHeight="1" x14ac:dyDescent="0.3">
      <c r="A44" s="3"/>
      <c r="B44" s="3"/>
      <c r="C44" s="3"/>
      <c r="D44" s="3"/>
    </row>
    <row r="45" spans="1:9" ht="15.75" customHeight="1" x14ac:dyDescent="0.3">
      <c r="A45" s="3"/>
      <c r="B45" s="3"/>
      <c r="C45" s="3"/>
      <c r="D45" s="3"/>
    </row>
    <row r="46" spans="1:9" ht="15.75" customHeight="1" x14ac:dyDescent="0.3">
      <c r="A46" s="3"/>
      <c r="B46" s="3"/>
      <c r="C46" s="3"/>
      <c r="D46" s="3"/>
    </row>
    <row r="47" spans="1:9" ht="15.75" customHeight="1" x14ac:dyDescent="0.3">
      <c r="A47" s="3"/>
      <c r="B47" s="3"/>
      <c r="C47" s="3"/>
      <c r="D47" s="3"/>
    </row>
    <row r="48" spans="1:9" ht="15.75" customHeight="1" x14ac:dyDescent="0.3">
      <c r="A48" s="3"/>
      <c r="B48" s="3"/>
      <c r="C48" s="3"/>
      <c r="D48" s="3"/>
    </row>
    <row r="49" spans="1:4" ht="15.75" customHeight="1" x14ac:dyDescent="0.3">
      <c r="A49" s="3"/>
      <c r="B49" s="3"/>
      <c r="C49" s="3"/>
      <c r="D49" s="3"/>
    </row>
    <row r="50" spans="1:4" ht="15.75" customHeight="1" x14ac:dyDescent="0.3">
      <c r="A50" s="3"/>
      <c r="B50" s="3"/>
      <c r="C50" s="3"/>
      <c r="D50" s="3"/>
    </row>
    <row r="51" spans="1:4" ht="15.75" customHeight="1" x14ac:dyDescent="0.3">
      <c r="A51" s="3"/>
      <c r="B51" s="3"/>
      <c r="C51" s="3"/>
      <c r="D51" s="3"/>
    </row>
    <row r="52" spans="1:4" ht="15.75" customHeight="1" x14ac:dyDescent="0.3">
      <c r="A52" s="3"/>
      <c r="B52" s="3"/>
      <c r="C52" s="3"/>
      <c r="D52" s="3"/>
    </row>
    <row r="53" spans="1:4" ht="15.75" customHeight="1" x14ac:dyDescent="0.3">
      <c r="A53" s="3"/>
      <c r="B53" s="3"/>
      <c r="C53" s="3"/>
      <c r="D53" s="3"/>
    </row>
    <row r="54" spans="1:4" ht="15.75" customHeight="1" x14ac:dyDescent="0.3">
      <c r="A54" s="3"/>
      <c r="B54" s="3"/>
      <c r="C54" s="3"/>
      <c r="D54" s="3"/>
    </row>
    <row r="55" spans="1:4" ht="15.75" customHeight="1" x14ac:dyDescent="0.3">
      <c r="A55" s="3"/>
      <c r="B55" s="3"/>
      <c r="C55" s="3"/>
      <c r="D55" s="3"/>
    </row>
    <row r="56" spans="1:4" ht="15.75" customHeight="1" x14ac:dyDescent="0.3">
      <c r="A56" s="3"/>
      <c r="B56" s="3"/>
      <c r="C56" s="3"/>
      <c r="D56" s="3"/>
    </row>
    <row r="57" spans="1:4" ht="15.75" customHeight="1" x14ac:dyDescent="0.3">
      <c r="A57" s="3"/>
      <c r="B57" s="3"/>
      <c r="C57" s="3"/>
      <c r="D57" s="3"/>
    </row>
    <row r="58" spans="1:4" ht="15.75" customHeight="1" x14ac:dyDescent="0.3">
      <c r="A58" s="3"/>
      <c r="B58" s="3"/>
      <c r="C58" s="3"/>
      <c r="D58" s="3"/>
    </row>
    <row r="59" spans="1:4" ht="15.75" customHeight="1" x14ac:dyDescent="0.3">
      <c r="A59" s="3"/>
      <c r="B59" s="3"/>
      <c r="C59" s="3"/>
      <c r="D59" s="3"/>
    </row>
    <row r="60" spans="1:4" ht="15.75" customHeight="1" x14ac:dyDescent="0.3">
      <c r="A60" s="3"/>
      <c r="B60" s="3"/>
      <c r="C60" s="3"/>
      <c r="D60" s="3"/>
    </row>
    <row r="61" spans="1:4" ht="15.75" customHeight="1" x14ac:dyDescent="0.3">
      <c r="A61" s="3"/>
      <c r="B61" s="3"/>
      <c r="C61" s="3"/>
      <c r="D61" s="3"/>
    </row>
    <row r="62" spans="1:4" ht="15.75" customHeight="1" x14ac:dyDescent="0.3">
      <c r="A62" s="3"/>
      <c r="B62" s="3"/>
      <c r="C62" s="3"/>
      <c r="D62" s="3"/>
    </row>
    <row r="63" spans="1:4" ht="15.75" customHeight="1" x14ac:dyDescent="0.3">
      <c r="A63" s="3"/>
      <c r="B63" s="3"/>
      <c r="C63" s="3"/>
      <c r="D63" s="3"/>
    </row>
    <row r="64" spans="1:4" ht="15.75" customHeight="1" x14ac:dyDescent="0.3">
      <c r="A64" s="3"/>
      <c r="B64" s="3"/>
      <c r="C64" s="3"/>
      <c r="D64" s="3"/>
    </row>
    <row r="65" spans="1:4" ht="15.75" customHeight="1" x14ac:dyDescent="0.3">
      <c r="A65" s="3"/>
      <c r="B65" s="3"/>
      <c r="C65" s="3"/>
      <c r="D65" s="3"/>
    </row>
    <row r="66" spans="1:4" ht="15.75" customHeight="1" x14ac:dyDescent="0.3">
      <c r="A66" s="3"/>
      <c r="B66" s="3"/>
      <c r="C66" s="3"/>
      <c r="D66" s="3"/>
    </row>
    <row r="67" spans="1:4" ht="15.75" customHeight="1" x14ac:dyDescent="0.3">
      <c r="A67" s="3"/>
      <c r="B67" s="3"/>
      <c r="C67" s="3"/>
      <c r="D67" s="3"/>
    </row>
    <row r="68" spans="1:4" ht="15.75" customHeight="1" x14ac:dyDescent="0.3">
      <c r="A68" s="3"/>
      <c r="B68" s="3"/>
      <c r="C68" s="3"/>
      <c r="D68" s="3"/>
    </row>
    <row r="69" spans="1:4" ht="15.75" customHeight="1" x14ac:dyDescent="0.3">
      <c r="A69" s="3"/>
      <c r="B69" s="3"/>
      <c r="C69" s="3"/>
      <c r="D69" s="3"/>
    </row>
    <row r="70" spans="1:4" ht="15.75" customHeight="1" x14ac:dyDescent="0.3">
      <c r="A70" s="3"/>
      <c r="B70" s="3"/>
      <c r="C70" s="3"/>
      <c r="D70" s="3"/>
    </row>
    <row r="71" spans="1:4" ht="15.75" customHeight="1" x14ac:dyDescent="0.3">
      <c r="A71" s="3"/>
      <c r="B71" s="3"/>
      <c r="C71" s="3"/>
      <c r="D71" s="3"/>
    </row>
    <row r="72" spans="1:4" ht="15.75" customHeight="1" x14ac:dyDescent="0.3">
      <c r="A72" s="3"/>
      <c r="B72" s="3"/>
      <c r="C72" s="3"/>
      <c r="D72" s="3"/>
    </row>
    <row r="73" spans="1:4" ht="15.75" customHeight="1" x14ac:dyDescent="0.3">
      <c r="A73" s="3"/>
      <c r="B73" s="3"/>
      <c r="C73" s="3"/>
      <c r="D73" s="3"/>
    </row>
    <row r="74" spans="1:4" ht="15.75" customHeight="1" x14ac:dyDescent="0.3">
      <c r="A74" s="3"/>
      <c r="B74" s="3"/>
      <c r="C74" s="3"/>
      <c r="D74" s="3"/>
    </row>
    <row r="75" spans="1:4" ht="15.75" customHeight="1" x14ac:dyDescent="0.3">
      <c r="A75" s="3"/>
      <c r="B75" s="3"/>
      <c r="C75" s="3"/>
      <c r="D75" s="3"/>
    </row>
    <row r="76" spans="1:4" ht="15.75" customHeight="1" x14ac:dyDescent="0.3">
      <c r="A76" s="3"/>
      <c r="B76" s="3"/>
      <c r="C76" s="3"/>
      <c r="D76" s="3"/>
    </row>
    <row r="77" spans="1:4" ht="15.75" customHeight="1" x14ac:dyDescent="0.3">
      <c r="A77" s="3"/>
      <c r="B77" s="3"/>
      <c r="C77" s="3"/>
      <c r="D77" s="3"/>
    </row>
    <row r="78" spans="1:4" ht="15.75" customHeight="1" x14ac:dyDescent="0.3">
      <c r="A78" s="3"/>
      <c r="B78" s="3"/>
      <c r="C78" s="3"/>
      <c r="D78" s="3"/>
    </row>
    <row r="79" spans="1:4" ht="15.75" customHeight="1" x14ac:dyDescent="0.3">
      <c r="A79" s="3"/>
      <c r="B79" s="3"/>
      <c r="C79" s="3"/>
      <c r="D79" s="3"/>
    </row>
    <row r="80" spans="1:4" ht="15.75" customHeight="1" x14ac:dyDescent="0.3">
      <c r="A80" s="3"/>
      <c r="B80" s="3"/>
      <c r="C80" s="3"/>
      <c r="D80" s="3"/>
    </row>
    <row r="81" spans="1:4" ht="15.75" customHeight="1" x14ac:dyDescent="0.3">
      <c r="A81" s="3"/>
      <c r="B81" s="3"/>
      <c r="C81" s="3"/>
      <c r="D81" s="3"/>
    </row>
    <row r="82" spans="1:4" ht="15.75" customHeight="1" x14ac:dyDescent="0.3">
      <c r="A82" s="3"/>
      <c r="B82" s="3"/>
      <c r="C82" s="3"/>
      <c r="D82" s="3"/>
    </row>
    <row r="83" spans="1:4" ht="15.75" customHeight="1" x14ac:dyDescent="0.3">
      <c r="A83" s="3"/>
      <c r="B83" s="3"/>
      <c r="C83" s="3"/>
      <c r="D83" s="3"/>
    </row>
    <row r="84" spans="1:4" ht="15.75" customHeight="1" x14ac:dyDescent="0.3">
      <c r="A84" s="3"/>
      <c r="B84" s="3"/>
      <c r="C84" s="3"/>
      <c r="D84" s="3"/>
    </row>
    <row r="85" spans="1:4" ht="15.75" customHeight="1" x14ac:dyDescent="0.3">
      <c r="A85" s="3"/>
      <c r="B85" s="3"/>
      <c r="C85" s="3"/>
      <c r="D85" s="3"/>
    </row>
    <row r="86" spans="1:4" ht="15.75" customHeight="1" x14ac:dyDescent="0.3">
      <c r="A86" s="3"/>
      <c r="B86" s="3"/>
      <c r="C86" s="3"/>
      <c r="D86" s="3"/>
    </row>
    <row r="87" spans="1:4" ht="15.75" customHeight="1" x14ac:dyDescent="0.3">
      <c r="A87" s="3"/>
      <c r="B87" s="3"/>
      <c r="C87" s="3"/>
      <c r="D87" s="3"/>
    </row>
    <row r="88" spans="1:4" ht="15.75" customHeight="1" x14ac:dyDescent="0.3">
      <c r="A88" s="3"/>
      <c r="B88" s="3"/>
      <c r="C88" s="3"/>
      <c r="D88" s="3"/>
    </row>
    <row r="89" spans="1:4" ht="15.75" customHeight="1" x14ac:dyDescent="0.3">
      <c r="A89" s="3"/>
      <c r="B89" s="3"/>
      <c r="C89" s="3"/>
      <c r="D89" s="3"/>
    </row>
    <row r="90" spans="1:4" ht="15.75" customHeight="1" x14ac:dyDescent="0.3">
      <c r="A90" s="3"/>
      <c r="B90" s="3"/>
      <c r="C90" s="3"/>
      <c r="D90" s="3"/>
    </row>
    <row r="91" spans="1:4" ht="15.75" customHeight="1" x14ac:dyDescent="0.3">
      <c r="A91" s="3"/>
      <c r="B91" s="3"/>
      <c r="C91" s="3"/>
      <c r="D91" s="3"/>
    </row>
    <row r="92" spans="1:4" ht="15.75" customHeight="1" x14ac:dyDescent="0.3">
      <c r="A92" s="3"/>
      <c r="B92" s="3"/>
      <c r="C92" s="3"/>
      <c r="D92" s="3"/>
    </row>
    <row r="93" spans="1:4" ht="15.75" customHeight="1" x14ac:dyDescent="0.3">
      <c r="A93" s="3"/>
      <c r="B93" s="3"/>
      <c r="C93" s="3"/>
      <c r="D93" s="3"/>
    </row>
    <row r="94" spans="1:4" ht="15.75" customHeight="1" x14ac:dyDescent="0.3">
      <c r="A94" s="3"/>
      <c r="B94" s="3"/>
      <c r="C94" s="3"/>
      <c r="D94" s="3"/>
    </row>
    <row r="95" spans="1:4" ht="15.75" customHeight="1" x14ac:dyDescent="0.3">
      <c r="A95" s="3"/>
      <c r="B95" s="3"/>
      <c r="C95" s="3"/>
      <c r="D95" s="3"/>
    </row>
    <row r="96" spans="1:4" ht="15.75" customHeight="1" x14ac:dyDescent="0.3">
      <c r="A96" s="3"/>
      <c r="B96" s="3"/>
      <c r="C96" s="3"/>
      <c r="D96" s="3"/>
    </row>
    <row r="97" spans="1:4" ht="15.75" customHeight="1" x14ac:dyDescent="0.3">
      <c r="A97" s="3"/>
      <c r="B97" s="3"/>
      <c r="C97" s="3"/>
      <c r="D97" s="3"/>
    </row>
    <row r="98" spans="1:4" ht="15.75" customHeight="1" x14ac:dyDescent="0.3">
      <c r="A98" s="3"/>
      <c r="B98" s="3"/>
      <c r="C98" s="3"/>
      <c r="D98" s="3"/>
    </row>
    <row r="99" spans="1:4" ht="15.75" customHeight="1" x14ac:dyDescent="0.3">
      <c r="A99" s="3"/>
      <c r="B99" s="3"/>
      <c r="C99" s="3"/>
      <c r="D99" s="3"/>
    </row>
    <row r="100" spans="1:4" ht="15.75" customHeight="1" x14ac:dyDescent="0.3">
      <c r="A100" s="3"/>
      <c r="B100" s="3"/>
      <c r="C100" s="3"/>
      <c r="D100" s="3"/>
    </row>
    <row r="101" spans="1:4" ht="15.75" customHeight="1" x14ac:dyDescent="0.3">
      <c r="A101" s="3"/>
      <c r="B101" s="3"/>
      <c r="C101" s="3"/>
      <c r="D101" s="3"/>
    </row>
    <row r="102" spans="1:4" ht="15.75" customHeight="1" x14ac:dyDescent="0.3">
      <c r="A102" s="3"/>
      <c r="B102" s="3"/>
      <c r="C102" s="3"/>
      <c r="D102" s="3"/>
    </row>
    <row r="103" spans="1:4" ht="15.75" customHeight="1" x14ac:dyDescent="0.3">
      <c r="A103" s="3"/>
      <c r="B103" s="3"/>
      <c r="C103" s="3"/>
      <c r="D103" s="3"/>
    </row>
    <row r="104" spans="1:4" ht="15.75" customHeight="1" x14ac:dyDescent="0.3">
      <c r="A104" s="3"/>
      <c r="B104" s="3"/>
      <c r="C104" s="3"/>
      <c r="D104" s="3"/>
    </row>
    <row r="105" spans="1:4" ht="15.75" customHeight="1" x14ac:dyDescent="0.3">
      <c r="A105" s="3"/>
      <c r="B105" s="3"/>
      <c r="C105" s="3"/>
      <c r="D105" s="3"/>
    </row>
    <row r="106" spans="1:4" ht="15.75" customHeight="1" x14ac:dyDescent="0.3">
      <c r="A106" s="3"/>
      <c r="B106" s="3"/>
      <c r="C106" s="3"/>
      <c r="D106" s="3"/>
    </row>
    <row r="107" spans="1:4" ht="15.75" customHeight="1" x14ac:dyDescent="0.3">
      <c r="A107" s="3"/>
      <c r="B107" s="3"/>
      <c r="C107" s="3"/>
      <c r="D107" s="3"/>
    </row>
    <row r="108" spans="1:4" ht="15.75" customHeight="1" x14ac:dyDescent="0.3">
      <c r="A108" s="3"/>
      <c r="B108" s="3"/>
      <c r="C108" s="3"/>
      <c r="D108" s="3"/>
    </row>
    <row r="109" spans="1:4" ht="15.75" customHeight="1" x14ac:dyDescent="0.3">
      <c r="A109" s="3"/>
      <c r="B109" s="3"/>
      <c r="C109" s="3"/>
      <c r="D109" s="3"/>
    </row>
    <row r="110" spans="1:4" ht="15.75" customHeight="1" x14ac:dyDescent="0.3">
      <c r="A110" s="3"/>
      <c r="B110" s="3"/>
      <c r="C110" s="3"/>
      <c r="D110" s="3"/>
    </row>
    <row r="111" spans="1:4" ht="15.75" customHeight="1" x14ac:dyDescent="0.3">
      <c r="A111" s="3"/>
      <c r="B111" s="3"/>
      <c r="C111" s="3"/>
      <c r="D111" s="3"/>
    </row>
    <row r="112" spans="1:4" ht="15.75" customHeight="1" x14ac:dyDescent="0.3">
      <c r="A112" s="3"/>
      <c r="B112" s="3"/>
      <c r="C112" s="3"/>
      <c r="D112" s="3"/>
    </row>
    <row r="113" spans="1:4" ht="15.75" customHeight="1" x14ac:dyDescent="0.3">
      <c r="A113" s="3"/>
      <c r="B113" s="3"/>
      <c r="C113" s="3"/>
      <c r="D113" s="3"/>
    </row>
    <row r="114" spans="1:4" ht="15.75" customHeight="1" x14ac:dyDescent="0.3">
      <c r="A114" s="3"/>
      <c r="B114" s="3"/>
      <c r="C114" s="3"/>
      <c r="D114" s="3"/>
    </row>
    <row r="115" spans="1:4" ht="15.75" customHeight="1" x14ac:dyDescent="0.3">
      <c r="A115" s="3"/>
      <c r="B115" s="3"/>
      <c r="C115" s="3"/>
      <c r="D115" s="3"/>
    </row>
    <row r="116" spans="1:4" ht="15.75" customHeight="1" x14ac:dyDescent="0.3">
      <c r="A116" s="3"/>
      <c r="B116" s="3"/>
      <c r="C116" s="3"/>
      <c r="D116" s="3"/>
    </row>
    <row r="117" spans="1:4" ht="15.75" customHeight="1" x14ac:dyDescent="0.3">
      <c r="A117" s="3"/>
      <c r="B117" s="3"/>
      <c r="C117" s="3"/>
      <c r="D117" s="3"/>
    </row>
    <row r="118" spans="1:4" ht="15.75" customHeight="1" x14ac:dyDescent="0.3">
      <c r="A118" s="3"/>
      <c r="B118" s="3"/>
      <c r="C118" s="3"/>
      <c r="D118" s="3"/>
    </row>
    <row r="119" spans="1:4" ht="15.75" customHeight="1" x14ac:dyDescent="0.3">
      <c r="A119" s="3"/>
      <c r="B119" s="3"/>
      <c r="C119" s="3"/>
      <c r="D119" s="3"/>
    </row>
    <row r="120" spans="1:4" ht="15.75" customHeight="1" x14ac:dyDescent="0.3">
      <c r="A120" s="3"/>
      <c r="B120" s="3"/>
      <c r="C120" s="3"/>
      <c r="D120" s="3"/>
    </row>
    <row r="121" spans="1:4" ht="15.75" customHeight="1" x14ac:dyDescent="0.3">
      <c r="A121" s="3"/>
      <c r="B121" s="3"/>
      <c r="C121" s="3"/>
      <c r="D121" s="3"/>
    </row>
    <row r="122" spans="1:4" ht="15.75" customHeight="1" x14ac:dyDescent="0.3">
      <c r="A122" s="3"/>
      <c r="B122" s="3"/>
      <c r="C122" s="3"/>
      <c r="D122" s="3"/>
    </row>
    <row r="123" spans="1:4" ht="15.75" customHeight="1" x14ac:dyDescent="0.3">
      <c r="A123" s="3"/>
      <c r="B123" s="3"/>
      <c r="C123" s="3"/>
      <c r="D123" s="3"/>
    </row>
    <row r="124" spans="1:4" ht="15.75" customHeight="1" x14ac:dyDescent="0.3">
      <c r="A124" s="3"/>
      <c r="B124" s="3"/>
      <c r="C124" s="3"/>
      <c r="D124" s="3"/>
    </row>
    <row r="125" spans="1:4" ht="15.75" customHeight="1" x14ac:dyDescent="0.3">
      <c r="A125" s="3"/>
      <c r="B125" s="3"/>
      <c r="C125" s="3"/>
      <c r="D125" s="3"/>
    </row>
    <row r="126" spans="1:4" ht="15.75" customHeight="1" x14ac:dyDescent="0.3">
      <c r="A126" s="3"/>
      <c r="B126" s="3"/>
      <c r="C126" s="3"/>
      <c r="D126" s="3"/>
    </row>
    <row r="127" spans="1:4" ht="15.75" customHeight="1" x14ac:dyDescent="0.3">
      <c r="A127" s="3"/>
      <c r="B127" s="3"/>
      <c r="C127" s="3"/>
      <c r="D127" s="3"/>
    </row>
    <row r="128" spans="1:4" ht="15.75" customHeight="1" x14ac:dyDescent="0.3">
      <c r="A128" s="3"/>
      <c r="B128" s="3"/>
      <c r="C128" s="3"/>
      <c r="D128" s="3"/>
    </row>
    <row r="129" spans="1:4" ht="15.75" customHeight="1" x14ac:dyDescent="0.3">
      <c r="A129" s="3"/>
      <c r="B129" s="3"/>
      <c r="C129" s="3"/>
      <c r="D129" s="3"/>
    </row>
    <row r="130" spans="1:4" ht="15.75" customHeight="1" x14ac:dyDescent="0.3">
      <c r="A130" s="3"/>
      <c r="B130" s="3"/>
      <c r="C130" s="3"/>
      <c r="D130" s="3"/>
    </row>
    <row r="131" spans="1:4" ht="15.75" customHeight="1" x14ac:dyDescent="0.3">
      <c r="A131" s="3"/>
      <c r="B131" s="3"/>
      <c r="C131" s="3"/>
      <c r="D131" s="3"/>
    </row>
    <row r="132" spans="1:4" ht="15.75" customHeight="1" x14ac:dyDescent="0.3">
      <c r="A132" s="3"/>
      <c r="B132" s="3"/>
      <c r="C132" s="3"/>
      <c r="D132" s="3"/>
    </row>
    <row r="133" spans="1:4" ht="15.75" customHeight="1" x14ac:dyDescent="0.3">
      <c r="A133" s="3"/>
      <c r="B133" s="3"/>
      <c r="C133" s="3"/>
      <c r="D133" s="3"/>
    </row>
    <row r="134" spans="1:4" ht="15.75" customHeight="1" x14ac:dyDescent="0.3">
      <c r="A134" s="3"/>
      <c r="B134" s="3"/>
      <c r="C134" s="3"/>
      <c r="D134" s="3"/>
    </row>
    <row r="135" spans="1:4" ht="15.75" customHeight="1" x14ac:dyDescent="0.3">
      <c r="A135" s="3"/>
      <c r="B135" s="3"/>
      <c r="C135" s="3"/>
      <c r="D135" s="3"/>
    </row>
    <row r="136" spans="1:4" ht="15.75" customHeight="1" x14ac:dyDescent="0.3">
      <c r="A136" s="3"/>
      <c r="B136" s="3"/>
      <c r="C136" s="3"/>
      <c r="D136" s="3"/>
    </row>
    <row r="137" spans="1:4" ht="15.75" customHeight="1" x14ac:dyDescent="0.3">
      <c r="A137" s="3"/>
      <c r="B137" s="3"/>
      <c r="C137" s="3"/>
      <c r="D137" s="3"/>
    </row>
    <row r="138" spans="1:4" ht="15.75" customHeight="1" x14ac:dyDescent="0.3">
      <c r="A138" s="3"/>
      <c r="B138" s="3"/>
      <c r="C138" s="3"/>
      <c r="D138" s="3"/>
    </row>
    <row r="139" spans="1:4" ht="15.75" customHeight="1" x14ac:dyDescent="0.3">
      <c r="A139" s="3"/>
      <c r="B139" s="3"/>
      <c r="C139" s="3"/>
      <c r="D139" s="3"/>
    </row>
    <row r="140" spans="1:4" ht="15.75" customHeight="1" x14ac:dyDescent="0.3">
      <c r="A140" s="3"/>
      <c r="B140" s="3"/>
      <c r="C140" s="3"/>
      <c r="D140" s="3"/>
    </row>
    <row r="141" spans="1:4" ht="15.75" customHeight="1" x14ac:dyDescent="0.3">
      <c r="A141" s="3"/>
      <c r="B141" s="3"/>
      <c r="C141" s="3"/>
      <c r="D141" s="3"/>
    </row>
    <row r="142" spans="1:4" ht="15.75" customHeight="1" x14ac:dyDescent="0.3">
      <c r="A142" s="3"/>
      <c r="B142" s="3"/>
      <c r="C142" s="3"/>
      <c r="D142" s="3"/>
    </row>
    <row r="143" spans="1:4" ht="15.75" customHeight="1" x14ac:dyDescent="0.3">
      <c r="A143" s="3"/>
      <c r="B143" s="3"/>
      <c r="C143" s="3"/>
      <c r="D143" s="3"/>
    </row>
    <row r="144" spans="1:4" ht="15.75" customHeight="1" x14ac:dyDescent="0.3">
      <c r="A144" s="3"/>
      <c r="B144" s="3"/>
      <c r="C144" s="3"/>
      <c r="D144" s="3"/>
    </row>
    <row r="145" spans="1:4" ht="15.75" customHeight="1" x14ac:dyDescent="0.3">
      <c r="A145" s="3"/>
      <c r="B145" s="3"/>
      <c r="C145" s="3"/>
      <c r="D145" s="3"/>
    </row>
    <row r="146" spans="1:4" ht="15.75" customHeight="1" x14ac:dyDescent="0.3">
      <c r="A146" s="3"/>
      <c r="B146" s="3"/>
      <c r="C146" s="3"/>
      <c r="D146" s="3"/>
    </row>
    <row r="147" spans="1:4" ht="15.75" customHeight="1" x14ac:dyDescent="0.3">
      <c r="A147" s="3"/>
      <c r="B147" s="3"/>
      <c r="C147" s="3"/>
      <c r="D147" s="3"/>
    </row>
    <row r="148" spans="1:4" ht="15.75" customHeight="1" x14ac:dyDescent="0.3">
      <c r="A148" s="3"/>
      <c r="B148" s="3"/>
      <c r="C148" s="3"/>
      <c r="D148" s="3"/>
    </row>
    <row r="149" spans="1:4" ht="15.75" customHeight="1" x14ac:dyDescent="0.3">
      <c r="A149" s="3"/>
      <c r="B149" s="3"/>
      <c r="C149" s="3"/>
      <c r="D149" s="3"/>
    </row>
    <row r="150" spans="1:4" ht="15.75" customHeight="1" x14ac:dyDescent="0.3">
      <c r="A150" s="3"/>
      <c r="B150" s="3"/>
      <c r="C150" s="3"/>
      <c r="D150" s="3"/>
    </row>
    <row r="151" spans="1:4" ht="15.75" customHeight="1" x14ac:dyDescent="0.3">
      <c r="A151" s="3"/>
      <c r="B151" s="3"/>
      <c r="C151" s="3"/>
      <c r="D151" s="3"/>
    </row>
    <row r="152" spans="1:4" ht="15.75" customHeight="1" x14ac:dyDescent="0.3">
      <c r="A152" s="3"/>
      <c r="B152" s="3"/>
      <c r="C152" s="3"/>
      <c r="D152" s="3"/>
    </row>
    <row r="153" spans="1:4" ht="15.75" customHeight="1" x14ac:dyDescent="0.3">
      <c r="A153" s="3"/>
      <c r="B153" s="3"/>
      <c r="C153" s="3"/>
      <c r="D153" s="3"/>
    </row>
    <row r="154" spans="1:4" ht="15.75" customHeight="1" x14ac:dyDescent="0.3">
      <c r="A154" s="3"/>
      <c r="B154" s="3"/>
      <c r="C154" s="3"/>
      <c r="D154" s="3"/>
    </row>
    <row r="155" spans="1:4" ht="15.75" customHeight="1" x14ac:dyDescent="0.3">
      <c r="A155" s="3"/>
      <c r="B155" s="3"/>
      <c r="C155" s="3"/>
      <c r="D155" s="3"/>
    </row>
    <row r="156" spans="1:4" ht="15.75" customHeight="1" x14ac:dyDescent="0.3">
      <c r="A156" s="3"/>
      <c r="B156" s="3"/>
      <c r="C156" s="3"/>
      <c r="D156" s="3"/>
    </row>
    <row r="157" spans="1:4" ht="15.75" customHeight="1" x14ac:dyDescent="0.3">
      <c r="A157" s="3"/>
      <c r="B157" s="3"/>
      <c r="C157" s="3"/>
      <c r="D157" s="3"/>
    </row>
    <row r="158" spans="1:4" ht="15.75" customHeight="1" x14ac:dyDescent="0.3">
      <c r="A158" s="3"/>
      <c r="B158" s="3"/>
      <c r="C158" s="3"/>
      <c r="D158" s="3"/>
    </row>
    <row r="159" spans="1:4" ht="15.75" customHeight="1" x14ac:dyDescent="0.3">
      <c r="A159" s="3"/>
      <c r="B159" s="3"/>
      <c r="C159" s="3"/>
      <c r="D159" s="3"/>
    </row>
    <row r="160" spans="1:4" ht="15.75" customHeight="1" x14ac:dyDescent="0.3">
      <c r="A160" s="3"/>
      <c r="B160" s="3"/>
      <c r="C160" s="3"/>
      <c r="D160" s="3"/>
    </row>
    <row r="161" spans="1:4" ht="15.75" customHeight="1" x14ac:dyDescent="0.3">
      <c r="A161" s="3"/>
      <c r="B161" s="3"/>
      <c r="C161" s="3"/>
      <c r="D161" s="3"/>
    </row>
    <row r="162" spans="1:4" ht="15.75" customHeight="1" x14ac:dyDescent="0.3">
      <c r="A162" s="3"/>
      <c r="B162" s="3"/>
      <c r="C162" s="3"/>
      <c r="D162" s="3"/>
    </row>
    <row r="163" spans="1:4" ht="15.75" customHeight="1" x14ac:dyDescent="0.3">
      <c r="A163" s="3"/>
      <c r="B163" s="3"/>
      <c r="C163" s="3"/>
      <c r="D163" s="3"/>
    </row>
    <row r="164" spans="1:4" ht="15.75" customHeight="1" x14ac:dyDescent="0.3">
      <c r="A164" s="3"/>
      <c r="B164" s="3"/>
      <c r="C164" s="3"/>
      <c r="D164" s="3"/>
    </row>
    <row r="165" spans="1:4" ht="15.75" customHeight="1" x14ac:dyDescent="0.3">
      <c r="A165" s="3"/>
      <c r="B165" s="3"/>
      <c r="C165" s="3"/>
      <c r="D165" s="3"/>
    </row>
    <row r="166" spans="1:4" ht="15.75" customHeight="1" x14ac:dyDescent="0.3">
      <c r="A166" s="3"/>
      <c r="B166" s="3"/>
      <c r="C166" s="3"/>
      <c r="D166" s="3"/>
    </row>
    <row r="167" spans="1:4" ht="15.75" customHeight="1" x14ac:dyDescent="0.3">
      <c r="A167" s="3"/>
      <c r="B167" s="3"/>
      <c r="C167" s="3"/>
      <c r="D167" s="3"/>
    </row>
    <row r="168" spans="1:4" ht="15.75" customHeight="1" x14ac:dyDescent="0.3">
      <c r="A168" s="3"/>
      <c r="B168" s="3"/>
      <c r="C168" s="3"/>
      <c r="D168" s="3"/>
    </row>
    <row r="169" spans="1:4" ht="15.75" customHeight="1" x14ac:dyDescent="0.3">
      <c r="A169" s="3"/>
      <c r="B169" s="3"/>
      <c r="C169" s="3"/>
      <c r="D169" s="3"/>
    </row>
    <row r="170" spans="1:4" ht="15.75" customHeight="1" x14ac:dyDescent="0.3">
      <c r="A170" s="3"/>
      <c r="B170" s="3"/>
      <c r="C170" s="3"/>
      <c r="D170" s="3"/>
    </row>
    <row r="171" spans="1:4" ht="15.75" customHeight="1" x14ac:dyDescent="0.3">
      <c r="A171" s="3"/>
      <c r="B171" s="3"/>
      <c r="C171" s="3"/>
      <c r="D171" s="3"/>
    </row>
    <row r="172" spans="1:4" ht="15.75" customHeight="1" x14ac:dyDescent="0.3">
      <c r="A172" s="3"/>
      <c r="B172" s="3"/>
      <c r="C172" s="3"/>
      <c r="D172" s="3"/>
    </row>
    <row r="173" spans="1:4" ht="15.75" customHeight="1" x14ac:dyDescent="0.3">
      <c r="A173" s="3"/>
      <c r="B173" s="3"/>
      <c r="C173" s="3"/>
      <c r="D173" s="3"/>
    </row>
    <row r="174" spans="1:4" ht="15.75" customHeight="1" x14ac:dyDescent="0.3">
      <c r="A174" s="3"/>
      <c r="B174" s="3"/>
      <c r="C174" s="3"/>
      <c r="D174" s="3"/>
    </row>
    <row r="175" spans="1:4" ht="15.75" customHeight="1" x14ac:dyDescent="0.3">
      <c r="A175" s="3"/>
      <c r="B175" s="3"/>
      <c r="C175" s="3"/>
      <c r="D175" s="3"/>
    </row>
    <row r="176" spans="1:4" ht="15.75" customHeight="1" x14ac:dyDescent="0.3">
      <c r="A176" s="3"/>
      <c r="B176" s="3"/>
      <c r="C176" s="3"/>
      <c r="D176" s="3"/>
    </row>
    <row r="177" spans="1:4" ht="15.75" customHeight="1" x14ac:dyDescent="0.3">
      <c r="A177" s="3"/>
      <c r="B177" s="3"/>
      <c r="C177" s="3"/>
      <c r="D177" s="3"/>
    </row>
    <row r="178" spans="1:4" ht="15.75" customHeight="1" x14ac:dyDescent="0.3">
      <c r="A178" s="3"/>
      <c r="B178" s="3"/>
      <c r="C178" s="3"/>
      <c r="D178" s="3"/>
    </row>
    <row r="179" spans="1:4" ht="15.75" customHeight="1" x14ac:dyDescent="0.3">
      <c r="A179" s="3"/>
      <c r="B179" s="3"/>
      <c r="C179" s="3"/>
      <c r="D179" s="3"/>
    </row>
    <row r="180" spans="1:4" ht="15.75" customHeight="1" x14ac:dyDescent="0.3">
      <c r="A180" s="3"/>
      <c r="B180" s="3"/>
      <c r="C180" s="3"/>
      <c r="D180" s="3"/>
    </row>
    <row r="181" spans="1:4" ht="15.75" customHeight="1" x14ac:dyDescent="0.3">
      <c r="A181" s="3"/>
      <c r="B181" s="3"/>
      <c r="C181" s="3"/>
      <c r="D181" s="3"/>
    </row>
    <row r="182" spans="1:4" ht="15.75" customHeight="1" x14ac:dyDescent="0.3">
      <c r="A182" s="3"/>
      <c r="B182" s="3"/>
      <c r="C182" s="3"/>
      <c r="D182" s="3"/>
    </row>
    <row r="183" spans="1:4" ht="15.75" customHeight="1" x14ac:dyDescent="0.3">
      <c r="A183" s="3"/>
      <c r="B183" s="3"/>
      <c r="C183" s="3"/>
      <c r="D183" s="3"/>
    </row>
    <row r="184" spans="1:4" ht="15.75" customHeight="1" x14ac:dyDescent="0.3">
      <c r="A184" s="3"/>
      <c r="B184" s="3"/>
      <c r="C184" s="3"/>
      <c r="D184" s="3"/>
    </row>
    <row r="185" spans="1:4" ht="15.75" customHeight="1" x14ac:dyDescent="0.3">
      <c r="A185" s="3"/>
      <c r="B185" s="3"/>
      <c r="C185" s="3"/>
      <c r="D185" s="3"/>
    </row>
    <row r="186" spans="1:4" ht="15.75" customHeight="1" x14ac:dyDescent="0.3">
      <c r="A186" s="3"/>
      <c r="B186" s="3"/>
      <c r="C186" s="3"/>
      <c r="D186" s="3"/>
    </row>
    <row r="187" spans="1:4" ht="15.75" customHeight="1" x14ac:dyDescent="0.3">
      <c r="A187" s="3"/>
      <c r="B187" s="3"/>
      <c r="C187" s="3"/>
      <c r="D187" s="3"/>
    </row>
    <row r="188" spans="1:4" ht="15.75" customHeight="1" x14ac:dyDescent="0.3">
      <c r="A188" s="3"/>
      <c r="B188" s="3"/>
      <c r="C188" s="3"/>
      <c r="D188" s="3"/>
    </row>
    <row r="189" spans="1:4" ht="15.75" customHeight="1" x14ac:dyDescent="0.3">
      <c r="A189" s="3"/>
      <c r="B189" s="3"/>
      <c r="C189" s="3"/>
      <c r="D189" s="3"/>
    </row>
    <row r="190" spans="1:4" ht="15.75" customHeight="1" x14ac:dyDescent="0.3">
      <c r="A190" s="3"/>
      <c r="B190" s="3"/>
      <c r="C190" s="3"/>
      <c r="D190" s="3"/>
    </row>
    <row r="191" spans="1:4" ht="15.75" customHeight="1" x14ac:dyDescent="0.3">
      <c r="A191" s="3"/>
      <c r="B191" s="3"/>
      <c r="C191" s="3"/>
      <c r="D191" s="3"/>
    </row>
    <row r="192" spans="1:4" ht="15.75" customHeight="1" x14ac:dyDescent="0.3">
      <c r="A192" s="3"/>
      <c r="B192" s="3"/>
      <c r="C192" s="3"/>
      <c r="D192" s="3"/>
    </row>
    <row r="193" spans="1:4" ht="15.75" customHeight="1" x14ac:dyDescent="0.3">
      <c r="A193" s="3"/>
      <c r="B193" s="3"/>
      <c r="C193" s="3"/>
      <c r="D193" s="3"/>
    </row>
    <row r="194" spans="1:4" ht="15.75" customHeight="1" x14ac:dyDescent="0.3">
      <c r="A194" s="3"/>
      <c r="B194" s="3"/>
      <c r="C194" s="3"/>
      <c r="D194" s="3"/>
    </row>
    <row r="195" spans="1:4" ht="15.75" customHeight="1" x14ac:dyDescent="0.3">
      <c r="A195" s="3"/>
      <c r="B195" s="3"/>
      <c r="C195" s="3"/>
      <c r="D195" s="3"/>
    </row>
    <row r="196" spans="1:4" ht="15.75" customHeight="1" x14ac:dyDescent="0.3">
      <c r="A196" s="3"/>
      <c r="B196" s="3"/>
      <c r="C196" s="3"/>
      <c r="D196" s="3"/>
    </row>
    <row r="197" spans="1:4" ht="15.75" customHeight="1" x14ac:dyDescent="0.3">
      <c r="A197" s="3"/>
      <c r="B197" s="3"/>
      <c r="C197" s="3"/>
      <c r="D197" s="3"/>
    </row>
    <row r="198" spans="1:4" ht="15.75" customHeight="1" x14ac:dyDescent="0.3">
      <c r="A198" s="3"/>
      <c r="B198" s="3"/>
      <c r="C198" s="3"/>
      <c r="D198" s="3"/>
    </row>
    <row r="199" spans="1:4" ht="15.75" customHeight="1" x14ac:dyDescent="0.3">
      <c r="A199" s="3"/>
      <c r="B199" s="3"/>
      <c r="C199" s="3"/>
      <c r="D199" s="3"/>
    </row>
    <row r="200" spans="1:4" ht="15.75" customHeight="1" x14ac:dyDescent="0.3">
      <c r="A200" s="3"/>
      <c r="B200" s="3"/>
      <c r="C200" s="3"/>
      <c r="D200" s="3"/>
    </row>
    <row r="201" spans="1:4" ht="15.75" customHeight="1" x14ac:dyDescent="0.3">
      <c r="A201" s="3"/>
      <c r="B201" s="3"/>
      <c r="C201" s="3"/>
      <c r="D201" s="3"/>
    </row>
    <row r="202" spans="1:4" ht="15.75" customHeight="1" x14ac:dyDescent="0.3">
      <c r="A202" s="3"/>
      <c r="B202" s="3"/>
      <c r="C202" s="3"/>
      <c r="D202" s="3"/>
    </row>
    <row r="203" spans="1:4" ht="15.75" customHeight="1" x14ac:dyDescent="0.3">
      <c r="A203" s="3"/>
      <c r="B203" s="3"/>
      <c r="C203" s="3"/>
      <c r="D203" s="3"/>
    </row>
    <row r="204" spans="1:4" ht="15.75" customHeight="1" x14ac:dyDescent="0.3">
      <c r="A204" s="3"/>
      <c r="B204" s="3"/>
      <c r="C204" s="3"/>
      <c r="D204" s="3"/>
    </row>
    <row r="205" spans="1:4" ht="15.75" customHeight="1" x14ac:dyDescent="0.3">
      <c r="A205" s="3"/>
      <c r="B205" s="3"/>
      <c r="C205" s="3"/>
      <c r="D205" s="3"/>
    </row>
    <row r="206" spans="1:4" ht="15.75" customHeight="1" x14ac:dyDescent="0.3">
      <c r="A206" s="3"/>
      <c r="B206" s="3"/>
      <c r="C206" s="3"/>
      <c r="D206" s="3"/>
    </row>
    <row r="207" spans="1:4" ht="15.75" customHeight="1" x14ac:dyDescent="0.3">
      <c r="A207" s="3"/>
      <c r="B207" s="3"/>
      <c r="C207" s="3"/>
      <c r="D207" s="3"/>
    </row>
    <row r="208" spans="1:4" ht="15.75" customHeight="1" x14ac:dyDescent="0.3">
      <c r="A208" s="3"/>
      <c r="B208" s="3"/>
      <c r="C208" s="3"/>
      <c r="D208" s="3"/>
    </row>
    <row r="209" spans="1:4" ht="15.75" customHeight="1" x14ac:dyDescent="0.3">
      <c r="A209" s="3"/>
      <c r="B209" s="3"/>
      <c r="C209" s="3"/>
      <c r="D209" s="3"/>
    </row>
    <row r="210" spans="1:4" ht="15.75" customHeight="1" x14ac:dyDescent="0.3">
      <c r="A210" s="3"/>
      <c r="B210" s="3"/>
      <c r="C210" s="3"/>
      <c r="D210" s="3"/>
    </row>
    <row r="211" spans="1:4" ht="15.75" customHeight="1" x14ac:dyDescent="0.3">
      <c r="A211" s="3"/>
      <c r="B211" s="3"/>
      <c r="C211" s="3"/>
      <c r="D211" s="3"/>
    </row>
    <row r="212" spans="1:4" ht="15.75" customHeight="1" x14ac:dyDescent="0.3">
      <c r="A212" s="3"/>
      <c r="B212" s="3"/>
      <c r="C212" s="3"/>
      <c r="D212" s="3"/>
    </row>
    <row r="213" spans="1:4" ht="15.75" customHeight="1" x14ac:dyDescent="0.3">
      <c r="A213" s="3"/>
      <c r="B213" s="3"/>
      <c r="C213" s="3"/>
      <c r="D213" s="3"/>
    </row>
    <row r="214" spans="1:4" ht="15.75" customHeight="1" x14ac:dyDescent="0.3">
      <c r="A214" s="3"/>
      <c r="B214" s="3"/>
      <c r="C214" s="3"/>
      <c r="D214" s="3"/>
    </row>
    <row r="215" spans="1:4" ht="15.75" customHeight="1" x14ac:dyDescent="0.3">
      <c r="A215" s="3"/>
      <c r="B215" s="3"/>
      <c r="C215" s="3"/>
      <c r="D215" s="3"/>
    </row>
    <row r="216" spans="1:4" ht="15.75" customHeight="1" x14ac:dyDescent="0.3">
      <c r="A216" s="3"/>
      <c r="B216" s="3"/>
      <c r="C216" s="3"/>
      <c r="D216" s="3"/>
    </row>
    <row r="217" spans="1:4" ht="15.75" customHeight="1" x14ac:dyDescent="0.3">
      <c r="A217" s="3"/>
      <c r="B217" s="3"/>
      <c r="C217" s="3"/>
      <c r="D217" s="3"/>
    </row>
    <row r="218" spans="1:4" ht="15.75" customHeight="1" x14ac:dyDescent="0.3">
      <c r="A218" s="3"/>
      <c r="B218" s="3"/>
      <c r="C218" s="3"/>
      <c r="D218" s="3"/>
    </row>
    <row r="219" spans="1:4" ht="15.75" customHeight="1" x14ac:dyDescent="0.3">
      <c r="A219" s="3"/>
      <c r="B219" s="3"/>
      <c r="C219" s="3"/>
      <c r="D219" s="3"/>
    </row>
    <row r="220" spans="1:4" ht="15.75" customHeight="1" x14ac:dyDescent="0.3">
      <c r="A220" s="3"/>
      <c r="B220" s="3"/>
      <c r="C220" s="3"/>
      <c r="D220" s="3"/>
    </row>
    <row r="221" spans="1:4" ht="15.75" customHeight="1" x14ac:dyDescent="0.3">
      <c r="A221" s="3"/>
      <c r="B221" s="3"/>
      <c r="C221" s="3"/>
      <c r="D221" s="3"/>
    </row>
    <row r="222" spans="1:4" ht="15.75" customHeight="1" x14ac:dyDescent="0.3">
      <c r="A222" s="3"/>
      <c r="B222" s="3"/>
      <c r="C222" s="3"/>
      <c r="D222" s="3"/>
    </row>
    <row r="223" spans="1:4" ht="15.75" customHeight="1" x14ac:dyDescent="0.3">
      <c r="A223" s="3"/>
      <c r="B223" s="3"/>
      <c r="C223" s="3"/>
      <c r="D223" s="3"/>
    </row>
    <row r="224" spans="1:4" ht="15.75" customHeight="1" x14ac:dyDescent="0.3">
      <c r="A224" s="3"/>
      <c r="B224" s="3"/>
      <c r="C224" s="3"/>
      <c r="D224" s="3"/>
    </row>
    <row r="225" spans="1:4" ht="15.75" customHeight="1" x14ac:dyDescent="0.3">
      <c r="A225" s="3"/>
      <c r="B225" s="3"/>
      <c r="C225" s="3"/>
      <c r="D225" s="3"/>
    </row>
    <row r="226" spans="1:4" ht="15.75" customHeight="1" x14ac:dyDescent="0.3">
      <c r="A226" s="3"/>
      <c r="B226" s="3"/>
      <c r="C226" s="3"/>
      <c r="D226" s="3"/>
    </row>
    <row r="227" spans="1:4" ht="15.75" customHeight="1" x14ac:dyDescent="0.3">
      <c r="A227" s="3"/>
      <c r="B227" s="3"/>
      <c r="C227" s="3"/>
      <c r="D227" s="3"/>
    </row>
    <row r="228" spans="1:4" ht="15.75" customHeight="1" x14ac:dyDescent="0.3">
      <c r="A228" s="3"/>
      <c r="B228" s="3"/>
      <c r="C228" s="3"/>
      <c r="D228" s="3"/>
    </row>
    <row r="229" spans="1:4" ht="15.75" customHeight="1" x14ac:dyDescent="0.3">
      <c r="A229" s="3"/>
      <c r="B229" s="3"/>
      <c r="C229" s="3"/>
      <c r="D229" s="3"/>
    </row>
    <row r="230" spans="1:4" ht="15.75" customHeight="1" x14ac:dyDescent="0.3">
      <c r="A230" s="3"/>
      <c r="B230" s="3"/>
      <c r="C230" s="3"/>
      <c r="D230" s="3"/>
    </row>
    <row r="231" spans="1:4" ht="15.75" customHeight="1" x14ac:dyDescent="0.3">
      <c r="A231" s="3"/>
      <c r="B231" s="3"/>
      <c r="C231" s="3"/>
      <c r="D231" s="3"/>
    </row>
    <row r="232" spans="1:4" ht="15.75" customHeight="1" x14ac:dyDescent="0.3">
      <c r="A232" s="3"/>
      <c r="B232" s="3"/>
      <c r="C232" s="3"/>
      <c r="D232" s="3"/>
    </row>
    <row r="233" spans="1:4" ht="15.75" customHeight="1" x14ac:dyDescent="0.25"/>
    <row r="234" spans="1:4" ht="15.75" customHeight="1" x14ac:dyDescent="0.25"/>
    <row r="235" spans="1:4" ht="15.75" customHeight="1" x14ac:dyDescent="0.25"/>
    <row r="236" spans="1:4" ht="15.75" customHeight="1" x14ac:dyDescent="0.25"/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8">
    <mergeCell ref="B30:C30"/>
    <mergeCell ref="B31:C31"/>
    <mergeCell ref="B33:C33"/>
    <mergeCell ref="B8:C8"/>
    <mergeCell ref="C1:D1"/>
    <mergeCell ref="B4:C4"/>
    <mergeCell ref="B5:C5"/>
    <mergeCell ref="B7:C7"/>
  </mergeCells>
  <dataValidations disablePrompts="1" count="1">
    <dataValidation type="list" allowBlank="1" showErrorMessage="1" sqref="C1" xr:uid="{1D3E266E-3B2E-41BA-B086-CECFF0111D61}">
      <formula1>"FATURA,RECIBO"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E898-9C27-4BB5-BFB1-359BA6E0B61E}">
  <dimension ref="A1:A25"/>
  <sheetViews>
    <sheetView workbookViewId="0">
      <selection activeCell="B1" sqref="B1:B1048576"/>
    </sheetView>
  </sheetViews>
  <sheetFormatPr defaultRowHeight="13.8" x14ac:dyDescent="0.25"/>
  <cols>
    <col min="1" max="1" width="41.59765625" bestFit="1" customWidth="1"/>
  </cols>
  <sheetData>
    <row r="1" spans="1:1" x14ac:dyDescent="0.25">
      <c r="A1" s="84" t="s">
        <v>67</v>
      </c>
    </row>
    <row r="2" spans="1:1" x14ac:dyDescent="0.25">
      <c r="A2" s="84" t="s">
        <v>68</v>
      </c>
    </row>
    <row r="3" spans="1:1" x14ac:dyDescent="0.25">
      <c r="A3" s="84" t="s">
        <v>69</v>
      </c>
    </row>
    <row r="4" spans="1:1" x14ac:dyDescent="0.25">
      <c r="A4" s="84" t="s">
        <v>70</v>
      </c>
    </row>
    <row r="5" spans="1:1" x14ac:dyDescent="0.25">
      <c r="A5" s="84" t="s">
        <v>71</v>
      </c>
    </row>
    <row r="6" spans="1:1" x14ac:dyDescent="0.25">
      <c r="A6" s="84" t="s">
        <v>72</v>
      </c>
    </row>
    <row r="7" spans="1:1" x14ac:dyDescent="0.25">
      <c r="A7" s="84" t="s">
        <v>73</v>
      </c>
    </row>
    <row r="8" spans="1:1" x14ac:dyDescent="0.25">
      <c r="A8" s="84" t="s">
        <v>74</v>
      </c>
    </row>
    <row r="9" spans="1:1" x14ac:dyDescent="0.25">
      <c r="A9" s="84" t="s">
        <v>68</v>
      </c>
    </row>
    <row r="10" spans="1:1" x14ac:dyDescent="0.25">
      <c r="A10" s="84" t="s">
        <v>75</v>
      </c>
    </row>
    <row r="11" spans="1:1" x14ac:dyDescent="0.25">
      <c r="A11" s="84" t="s">
        <v>76</v>
      </c>
    </row>
    <row r="12" spans="1:1" x14ac:dyDescent="0.25">
      <c r="A12" s="84" t="s">
        <v>77</v>
      </c>
    </row>
    <row r="13" spans="1:1" x14ac:dyDescent="0.25">
      <c r="A13" s="84" t="s">
        <v>78</v>
      </c>
    </row>
    <row r="14" spans="1:1" x14ac:dyDescent="0.25">
      <c r="A14" s="84" t="s">
        <v>79</v>
      </c>
    </row>
    <row r="15" spans="1:1" x14ac:dyDescent="0.25">
      <c r="A15" s="84" t="s">
        <v>76</v>
      </c>
    </row>
    <row r="16" spans="1:1" x14ac:dyDescent="0.25">
      <c r="A16" s="84" t="s">
        <v>80</v>
      </c>
    </row>
    <row r="17" spans="1:1" x14ac:dyDescent="0.25">
      <c r="A17" s="84" t="s">
        <v>81</v>
      </c>
    </row>
    <row r="18" spans="1:1" x14ac:dyDescent="0.25">
      <c r="A18" s="84" t="s">
        <v>82</v>
      </c>
    </row>
    <row r="19" spans="1:1" x14ac:dyDescent="0.25">
      <c r="A19" s="84" t="s">
        <v>76</v>
      </c>
    </row>
    <row r="20" spans="1:1" x14ac:dyDescent="0.25">
      <c r="A20" s="84" t="s">
        <v>83</v>
      </c>
    </row>
    <row r="21" spans="1:1" x14ac:dyDescent="0.25">
      <c r="A21" s="84" t="s">
        <v>84</v>
      </c>
    </row>
    <row r="22" spans="1:1" x14ac:dyDescent="0.25">
      <c r="A22" s="84" t="s">
        <v>85</v>
      </c>
    </row>
    <row r="23" spans="1:1" x14ac:dyDescent="0.25">
      <c r="A23" s="84" t="s">
        <v>76</v>
      </c>
    </row>
    <row r="24" spans="1:1" x14ac:dyDescent="0.25">
      <c r="A24" s="84" t="s">
        <v>86</v>
      </c>
    </row>
    <row r="25" spans="1:1" x14ac:dyDescent="0.25">
      <c r="A25" s="84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01"/>
  <sheetViews>
    <sheetView workbookViewId="0">
      <selection activeCell="F21" sqref="F21"/>
    </sheetView>
  </sheetViews>
  <sheetFormatPr defaultColWidth="12.59765625" defaultRowHeight="15" customHeight="1" x14ac:dyDescent="0.25"/>
  <cols>
    <col min="1" max="1" width="40.5" customWidth="1"/>
    <col min="2" max="2" width="17.19921875" customWidth="1"/>
    <col min="3" max="3" width="8.59765625" customWidth="1"/>
    <col min="4" max="4" width="10.5" customWidth="1"/>
    <col min="5" max="26" width="8.59765625" customWidth="1"/>
  </cols>
  <sheetData>
    <row r="1" spans="1:4" ht="22.8" x14ac:dyDescent="0.4">
      <c r="A1" s="39" t="s">
        <v>35</v>
      </c>
      <c r="B1" s="40"/>
    </row>
    <row r="2" spans="1:4" ht="13.8" x14ac:dyDescent="0.25">
      <c r="A2" s="41"/>
      <c r="B2" s="42"/>
    </row>
    <row r="3" spans="1:4" ht="14.4" x14ac:dyDescent="0.3">
      <c r="A3" s="43" t="s">
        <v>36</v>
      </c>
      <c r="B3" s="44">
        <v>46204</v>
      </c>
    </row>
    <row r="4" spans="1:4" ht="14.4" x14ac:dyDescent="0.3">
      <c r="A4" s="43" t="s">
        <v>37</v>
      </c>
      <c r="B4" s="44">
        <v>46218</v>
      </c>
    </row>
    <row r="5" spans="1:4" ht="13.8" x14ac:dyDescent="0.25">
      <c r="A5" s="41"/>
      <c r="B5" s="42"/>
    </row>
    <row r="6" spans="1:4" ht="13.8" x14ac:dyDescent="0.25">
      <c r="A6" s="41"/>
      <c r="B6" s="42"/>
    </row>
    <row r="7" spans="1:4" ht="13.8" x14ac:dyDescent="0.25">
      <c r="A7" s="45" t="e">
        <f>+'[1]PR PC 303A'!A13</f>
        <v>#REF!</v>
      </c>
      <c r="B7" s="46">
        <f>'PR RR QD 23 LT 14'!D13</f>
        <v>241.8</v>
      </c>
    </row>
    <row r="8" spans="1:4" ht="13.8" x14ac:dyDescent="0.25">
      <c r="A8" s="45" t="s">
        <v>20</v>
      </c>
      <c r="B8" s="46">
        <f>'PR RR QD 23 LT 14'!D14</f>
        <v>338.98</v>
      </c>
    </row>
    <row r="9" spans="1:4" ht="13.8" x14ac:dyDescent="0.25">
      <c r="A9" s="45" t="s">
        <v>21</v>
      </c>
      <c r="B9" s="46">
        <f>'PR RR QD 23 LT 14'!D15</f>
        <v>38.33</v>
      </c>
    </row>
    <row r="10" spans="1:4" ht="13.8" x14ac:dyDescent="0.25">
      <c r="A10" s="45" t="s">
        <v>22</v>
      </c>
      <c r="B10" s="46">
        <f>'PR RR QD 23 LT 14'!D16</f>
        <v>20.73</v>
      </c>
    </row>
    <row r="11" spans="1:4" ht="13.8" x14ac:dyDescent="0.25">
      <c r="A11" s="45" t="s">
        <v>23</v>
      </c>
      <c r="B11" s="46">
        <f>'PR RR QD 23 LT 14'!D17</f>
        <v>0</v>
      </c>
    </row>
    <row r="12" spans="1:4" ht="13.8" x14ac:dyDescent="0.25">
      <c r="A12" s="45" t="s">
        <v>24</v>
      </c>
      <c r="B12" s="46">
        <f>'PR RR QD 23 LT 14'!D19</f>
        <v>65</v>
      </c>
      <c r="D12" s="47"/>
    </row>
    <row r="13" spans="1:4" ht="13.8" x14ac:dyDescent="0.25">
      <c r="A13" s="45" t="s">
        <v>34</v>
      </c>
      <c r="B13" s="46">
        <f>'PR RR QD 23 LT 14'!D21</f>
        <v>100</v>
      </c>
      <c r="D13" s="47"/>
    </row>
    <row r="14" spans="1:4" ht="13.8" x14ac:dyDescent="0.25">
      <c r="A14" s="45" t="s">
        <v>26</v>
      </c>
      <c r="B14" s="46">
        <f>'PR RR QD 23 LT 14'!D22</f>
        <v>20</v>
      </c>
      <c r="D14" s="47"/>
    </row>
    <row r="15" spans="1:4" ht="13.8" x14ac:dyDescent="0.25">
      <c r="A15" s="45" t="s">
        <v>28</v>
      </c>
      <c r="B15" s="46">
        <f>'PR RR QD 23 LT 14'!D23</f>
        <v>15</v>
      </c>
      <c r="D15" s="47"/>
    </row>
    <row r="16" spans="1:4" ht="13.8" x14ac:dyDescent="0.25">
      <c r="A16" s="52" t="s">
        <v>42</v>
      </c>
      <c r="B16" s="46">
        <f>'PR RR QD 23 LT 14'!D24</f>
        <v>10</v>
      </c>
      <c r="D16" s="47"/>
    </row>
    <row r="17" spans="1:2" ht="13.8" x14ac:dyDescent="0.25">
      <c r="A17" s="48" t="s">
        <v>38</v>
      </c>
      <c r="B17" s="49">
        <f>SUM(B7:B16)</f>
        <v>849.84</v>
      </c>
    </row>
    <row r="18" spans="1:2" ht="13.8" x14ac:dyDescent="0.25">
      <c r="B18" s="17"/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 RR QD02 LT14</vt:lpstr>
      <vt:lpstr>PR RR QD 23 LT 14</vt:lpstr>
      <vt:lpstr>Plano de conta</vt:lpstr>
      <vt:lpstr>TOTALIZADOR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Nathalia.Mandelli</dc:creator>
  <cp:lastModifiedBy>Mondonex  Lucas</cp:lastModifiedBy>
  <dcterms:created xsi:type="dcterms:W3CDTF">2019-06-03T17:38:16Z</dcterms:created>
  <dcterms:modified xsi:type="dcterms:W3CDTF">2026-07-13T14:43:59Z</dcterms:modified>
</cp:coreProperties>
</file>